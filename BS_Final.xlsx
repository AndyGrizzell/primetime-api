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\Desktop\"/>
    </mc:Choice>
  </mc:AlternateContent>
  <xr:revisionPtr revIDLastSave="2413" documentId="13_ncr:1_{1B58692F-B0CA-4823-AA3D-255AF0570C36}" xr6:coauthVersionLast="47" xr6:coauthVersionMax="47" xr10:uidLastSave="{73AD1A78-8E8D-4832-9CD9-B16D5E6F5F27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Sheet1!$E$14:$E$163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" i="1" l="1"/>
  <c r="F150" i="1"/>
  <c r="F148" i="1"/>
  <c r="F73" i="1"/>
  <c r="F74" i="1"/>
  <c r="F75" i="1"/>
  <c r="F144" i="1"/>
  <c r="F21" i="1"/>
  <c r="F22" i="1"/>
  <c r="F61" i="1"/>
  <c r="F122" i="1"/>
  <c r="E117" i="1"/>
  <c r="F111" i="1"/>
  <c r="E105" i="1"/>
  <c r="F88" i="1"/>
  <c r="E79" i="1"/>
  <c r="E68" i="1"/>
  <c r="F64" i="1"/>
  <c r="E54" i="1"/>
  <c r="F52" i="1"/>
  <c r="E46" i="1"/>
  <c r="F45" i="1"/>
  <c r="E41" i="1"/>
  <c r="F38" i="1"/>
  <c r="E35" i="1"/>
  <c r="E27" i="1"/>
  <c r="F26" i="1"/>
  <c r="E123" i="1"/>
  <c r="E112" i="1"/>
  <c r="E93" i="1"/>
  <c r="F24" i="1"/>
  <c r="F82" i="1"/>
  <c r="F29" i="1"/>
  <c r="F72" i="1"/>
  <c r="F132" i="1"/>
  <c r="F133" i="1"/>
  <c r="F116" i="1"/>
  <c r="F121" i="1"/>
  <c r="F43" i="1"/>
  <c r="F15" i="1"/>
  <c r="F146" i="1"/>
  <c r="E157" i="1"/>
  <c r="E143" i="1"/>
  <c r="E135" i="1"/>
  <c r="E127" i="1"/>
  <c r="E98" i="1"/>
  <c r="E89" i="1"/>
  <c r="E66" i="1"/>
  <c r="E39" i="1"/>
  <c r="F110" i="1"/>
  <c r="F109" i="1"/>
  <c r="F96" i="1"/>
  <c r="F60" i="1"/>
  <c r="F67" i="1"/>
  <c r="F33" i="1"/>
  <c r="F32" i="1"/>
  <c r="F62" i="1"/>
  <c r="F58" i="1"/>
  <c r="F57" i="1"/>
  <c r="F134" i="1"/>
  <c r="F131" i="1"/>
  <c r="F129" i="1"/>
  <c r="F128" i="1"/>
  <c r="F37" i="1"/>
  <c r="F36" i="1"/>
  <c r="F31" i="1"/>
  <c r="F97" i="1"/>
  <c r="F90" i="1"/>
  <c r="F63" i="1"/>
  <c r="F101" i="1"/>
  <c r="F115" i="1"/>
  <c r="F114" i="1"/>
  <c r="F113" i="1"/>
  <c r="F120" i="1"/>
  <c r="F153" i="1"/>
  <c r="F108" i="1"/>
  <c r="F118" i="1"/>
  <c r="F119" i="1"/>
  <c r="F107" i="1"/>
  <c r="F95" i="1"/>
  <c r="F87" i="1"/>
  <c r="F86" i="1"/>
  <c r="F158" i="1"/>
  <c r="F155" i="1"/>
  <c r="F154" i="1"/>
  <c r="F152" i="1"/>
  <c r="F151" i="1"/>
  <c r="F147" i="1"/>
  <c r="F145" i="1"/>
  <c r="F159" i="1" s="1"/>
  <c r="F18" i="1"/>
  <c r="F19" i="1"/>
  <c r="F20" i="1"/>
  <c r="F23" i="1"/>
  <c r="F25" i="1"/>
  <c r="F28" i="1"/>
  <c r="F30" i="1"/>
  <c r="F40" i="1"/>
  <c r="F42" i="1"/>
  <c r="F44" i="1"/>
  <c r="F47" i="1"/>
  <c r="F48" i="1"/>
  <c r="F49" i="1"/>
  <c r="F50" i="1"/>
  <c r="F51" i="1"/>
  <c r="F55" i="1"/>
  <c r="F56" i="1"/>
  <c r="F59" i="1"/>
  <c r="F69" i="1"/>
  <c r="F70" i="1"/>
  <c r="F71" i="1"/>
  <c r="F76" i="1"/>
  <c r="F77" i="1"/>
  <c r="F80" i="1"/>
  <c r="F81" i="1"/>
  <c r="F83" i="1"/>
  <c r="F84" i="1"/>
  <c r="F85" i="1"/>
  <c r="F94" i="1"/>
  <c r="F99" i="1"/>
  <c r="F100" i="1"/>
  <c r="F102" i="1"/>
  <c r="F106" i="1"/>
  <c r="F124" i="1"/>
  <c r="F125" i="1"/>
  <c r="F126" i="1"/>
  <c r="F141" i="1"/>
  <c r="F161" i="1" l="1"/>
  <c r="F163" i="1" s="1"/>
</calcChain>
</file>

<file path=xl/sharedStrings.xml><?xml version="1.0" encoding="utf-8"?>
<sst xmlns="http://schemas.openxmlformats.org/spreadsheetml/2006/main" count="192" uniqueCount="165">
  <si>
    <t>Primetime X2C/Promaster</t>
  </si>
  <si>
    <t>V1182026</t>
  </si>
  <si>
    <t>Customer</t>
  </si>
  <si>
    <t>Package G</t>
  </si>
  <si>
    <t>Quantity</t>
  </si>
  <si>
    <t>Address</t>
  </si>
  <si>
    <t xml:space="preserve"> </t>
  </si>
  <si>
    <t>Chassis Release</t>
  </si>
  <si>
    <t>Sutton</t>
  </si>
  <si>
    <t>City/State</t>
  </si>
  <si>
    <t>Fin Code</t>
  </si>
  <si>
    <t>Contact</t>
  </si>
  <si>
    <t>Paint Code</t>
  </si>
  <si>
    <t>Phone</t>
  </si>
  <si>
    <t>FloorPlan</t>
  </si>
  <si>
    <t>Email</t>
  </si>
  <si>
    <t>Seat Material</t>
  </si>
  <si>
    <t>Date</t>
  </si>
  <si>
    <t>Vin #</t>
  </si>
  <si>
    <t>RKB07398</t>
  </si>
  <si>
    <t>Is this an Adaptive Mobility order?</t>
  </si>
  <si>
    <t>Yes or No?</t>
  </si>
  <si>
    <t>Yes</t>
  </si>
  <si>
    <t>CHASSIS</t>
  </si>
  <si>
    <t>Price</t>
  </si>
  <si>
    <t>Qty.</t>
  </si>
  <si>
    <t>Amount</t>
  </si>
  <si>
    <t>2026 Low Roof Chassis  - Builders Prep</t>
  </si>
  <si>
    <t>2026 Low Roof Chassis  - 12 Passenger</t>
  </si>
  <si>
    <t>2026 Low Roof Chassis  - 15 Passenger</t>
  </si>
  <si>
    <t>2026 Mid Roof Chassis  - 12 Passenger</t>
  </si>
  <si>
    <t>2026 Mid Roof Chassis  - Builders Prep</t>
  </si>
  <si>
    <t>2025 Promaster - Window</t>
  </si>
  <si>
    <t>2025 Promaster - Cargo</t>
  </si>
  <si>
    <t>Full Body Paint - OEM Only</t>
  </si>
  <si>
    <t>Ford X2C</t>
  </si>
  <si>
    <t>Full Body Paint - Non OEM Only</t>
  </si>
  <si>
    <t>AWD - X2C</t>
  </si>
  <si>
    <t>2024 U4X - DRW</t>
  </si>
  <si>
    <t>INTERIOR</t>
  </si>
  <si>
    <t>Interior Upfit - Ford Transit</t>
  </si>
  <si>
    <t>Interior Uppfit - Ford Transit - Side Rear Lift</t>
  </si>
  <si>
    <t>Interior Upfit - Promaster Window</t>
  </si>
  <si>
    <t>Interior Upfit - Promaster LF</t>
  </si>
  <si>
    <t>Rear Storage Barrier</t>
  </si>
  <si>
    <t>Storage Walker Mount</t>
  </si>
  <si>
    <t>Pa System with Internal/External Speaker</t>
  </si>
  <si>
    <t>RUNNING BOARD</t>
  </si>
  <si>
    <t>Passenger Running Board</t>
  </si>
  <si>
    <t>Driver Running Board</t>
  </si>
  <si>
    <t>Rear Mud Flaps</t>
  </si>
  <si>
    <t>EXTERIOR</t>
  </si>
  <si>
    <t>Promaster Window Package - Cargo - Per Window</t>
  </si>
  <si>
    <t>A/C - Heat</t>
  </si>
  <si>
    <t>Twin Air A/C- Heat - Dodge - Tie In</t>
  </si>
  <si>
    <t>Dual A/C Compressor</t>
  </si>
  <si>
    <t>OEM A/C - Heat</t>
  </si>
  <si>
    <t>Duct OEM Heat</t>
  </si>
  <si>
    <t>FLOORING</t>
  </si>
  <si>
    <t>Plwood Subfloor with Wood Grain Flooring</t>
  </si>
  <si>
    <t>Plwood Subfloor with Altro Flooring</t>
  </si>
  <si>
    <t>Modify Flooring - OEM Seat Package</t>
  </si>
  <si>
    <t>Pareto Floor -  Ford</t>
  </si>
  <si>
    <t>Pareto Floor -  Dodge</t>
  </si>
  <si>
    <t>Altro Chroma Flooring</t>
  </si>
  <si>
    <t>3/4 Inch Plywood Flooring</t>
  </si>
  <si>
    <t>SEATING</t>
  </si>
  <si>
    <t>Freedman SIngle GO Seat</t>
  </si>
  <si>
    <t xml:space="preserve">Freedman Double GO Seat  </t>
  </si>
  <si>
    <t>Freedman Double GO Integrated Child Seat (1)</t>
  </si>
  <si>
    <t>Freedman Double GO Integrated Child Seat (2)</t>
  </si>
  <si>
    <t>Freedman Double Go Seat - Foldaway</t>
  </si>
  <si>
    <t>Freedman SIngle Go Seat - Foldaway</t>
  </si>
  <si>
    <t>Pareto Seat Base</t>
  </si>
  <si>
    <t>Child Seat Mounting Clips</t>
  </si>
  <si>
    <t>Seat Belt Extensions</t>
  </si>
  <si>
    <t>Freedman ARAC Preimeter Seating</t>
  </si>
  <si>
    <t>Seating Arm Reast</t>
  </si>
  <si>
    <t>WHEEL CHAIR DOOR</t>
  </si>
  <si>
    <t>48"x62" Manual Side Doors</t>
  </si>
  <si>
    <t>WHEEL CHAIR LIFT</t>
  </si>
  <si>
    <t>Braun Century 34 x 51 #800</t>
  </si>
  <si>
    <t>Braun Century 34 x 51 #1000</t>
  </si>
  <si>
    <t>Braun Century 37x 54 #1000</t>
  </si>
  <si>
    <t>Braun Century Rear Side Door 34 x 51 #1000</t>
  </si>
  <si>
    <t>Braun Millenium 34 x 51 #800</t>
  </si>
  <si>
    <t>Braun Millenium 34 x 51 #1000</t>
  </si>
  <si>
    <t>Braun Shift N Step Lift (Plus Lift Cost)</t>
  </si>
  <si>
    <t>ADA Interlock</t>
  </si>
  <si>
    <t>Passenger Call Bell System w Touch Pads</t>
  </si>
  <si>
    <t>WHEEL CHAIR RESTRAINTS</t>
  </si>
  <si>
    <t>L-Track - Per Track</t>
  </si>
  <si>
    <t>Shoulder Anchor Point - Per Position</t>
  </si>
  <si>
    <t>Shoulder Anchor Point - Per Position - DRW</t>
  </si>
  <si>
    <t>Q Straint - L Track</t>
  </si>
  <si>
    <t>Slide N Click  Floor Mounts</t>
  </si>
  <si>
    <t>Q-Straint - Slide N Click</t>
  </si>
  <si>
    <t>Slide N Click Storage System (TDSS)</t>
  </si>
  <si>
    <t>Webbing Loops</t>
  </si>
  <si>
    <t>DESTINATION SIGNAGE</t>
  </si>
  <si>
    <t>Front Destination Sign (TransSIgn)</t>
  </si>
  <si>
    <t>Side Destination Sign (TransSign)</t>
  </si>
  <si>
    <t>Front Destination Sign Header Cap- Illumintaed- No Electrnoic sign included</t>
  </si>
  <si>
    <t>STANTIONS/POLES</t>
  </si>
  <si>
    <t>Entrance Grab Bar</t>
  </si>
  <si>
    <t>Entrance Grab Bar - Yellow</t>
  </si>
  <si>
    <t>Parallel Grab Bars - Entry Door</t>
  </si>
  <si>
    <t xml:space="preserve">Stantions  </t>
  </si>
  <si>
    <t>ENTRANCE DOOR</t>
  </si>
  <si>
    <t>Entrance Door</t>
  </si>
  <si>
    <t>Entrance Door - L.F.</t>
  </si>
  <si>
    <t>Keyed Remote Entry</t>
  </si>
  <si>
    <t>Remote Entry</t>
  </si>
  <si>
    <t>42 " Bi Fold Bus Door</t>
  </si>
  <si>
    <t>Interior Door Switch for Passenger bus door</t>
  </si>
  <si>
    <t>SAFETY ITEMS</t>
  </si>
  <si>
    <t>Safety Kit - Fire Bottle, Triangle Kit, Backalarm</t>
  </si>
  <si>
    <t>Transpec Roof Hatch</t>
  </si>
  <si>
    <t>Strobe Light</t>
  </si>
  <si>
    <t>Color</t>
  </si>
  <si>
    <t>Vehicle Height Decal</t>
  </si>
  <si>
    <t>Watch Your Step Decal</t>
  </si>
  <si>
    <t>Clear</t>
  </si>
  <si>
    <t>AUDIO</t>
  </si>
  <si>
    <t>PA System</t>
  </si>
  <si>
    <t>External Speaker</t>
  </si>
  <si>
    <t>Lockable Storage Box - Remove Copliot Seat - Wood</t>
  </si>
  <si>
    <t>Lockable Storage Box  - Remove Copliot Seat - Steel</t>
  </si>
  <si>
    <t>ELECTRICAL</t>
  </si>
  <si>
    <t>Upgraded Dome Light Package (6)</t>
  </si>
  <si>
    <t>Passenger Call Bell System</t>
  </si>
  <si>
    <t>Heated Step Well</t>
  </si>
  <si>
    <t>USB Ports - Each</t>
  </si>
  <si>
    <t>MISCELLANEOUS</t>
  </si>
  <si>
    <t>Recertifications</t>
  </si>
  <si>
    <t>Drop Ship Credit</t>
  </si>
  <si>
    <t>Freight</t>
  </si>
  <si>
    <t>SPECIAL BUILDS</t>
  </si>
  <si>
    <t>Modify for OEM Seating</t>
  </si>
  <si>
    <t>10 Passenger</t>
  </si>
  <si>
    <t>15 Passenger</t>
  </si>
  <si>
    <t>Seat Package B</t>
  </si>
  <si>
    <t>Lockabable Stroage Box</t>
  </si>
  <si>
    <t>Fairbox Prewire</t>
  </si>
  <si>
    <t>SPECIAL NOTES</t>
  </si>
  <si>
    <t>Minuium 6 interioe dome lights</t>
  </si>
  <si>
    <t>Primetime Total</t>
  </si>
  <si>
    <t>BSI SUPPLIED ITEMS</t>
  </si>
  <si>
    <t>Corporate Overhead</t>
  </si>
  <si>
    <t>Basic Graphics  Package</t>
  </si>
  <si>
    <t>Graphic Package</t>
  </si>
  <si>
    <t>BSI Add Ons - See Attached</t>
  </si>
  <si>
    <t>Angeltrax 2 Camera System</t>
  </si>
  <si>
    <t>Undercoat</t>
  </si>
  <si>
    <t>Custom Graphic Package</t>
  </si>
  <si>
    <t>OEM Seat Package</t>
  </si>
  <si>
    <t>Class 2 Hitch with 4 Pin Connector</t>
  </si>
  <si>
    <t>Video System - 2-4 Camera/4 Channel</t>
  </si>
  <si>
    <t>Spare Fuses</t>
  </si>
  <si>
    <t>Rooftop "School Transportation" Sign</t>
  </si>
  <si>
    <t>INCENTIVE</t>
  </si>
  <si>
    <t>Mobility - If Applicable</t>
  </si>
  <si>
    <t>BSI Supplied Total</t>
  </si>
  <si>
    <t>Quote Valid for 30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</si>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</sst>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u/>
      <sz val="14"/>
      <color theme="1"/>
      <name val="Calibri"/>
      <scheme val="minor"/>
    </font>
    <font>
      <sz val="10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0"/>
      <color theme="1"/>
      <name val="Calibri"/>
      <scheme val="minor"/>
    </font>
    <font>
      <b/>
      <i/>
      <sz val="10"/>
      <color rgb="FF00B050"/>
      <name val="Calibri"/>
      <scheme val="minor"/>
    </font>
    <font>
      <b/>
      <sz val="10"/>
      <color theme="1"/>
      <name val="Calibri"/>
      <scheme val="minor"/>
    </font>
    <font>
      <b/>
      <u/>
      <sz val="10"/>
      <color rgb="FFC00000"/>
      <name val="Calibri"/>
      <scheme val="minor"/>
    </font>
    <font>
      <sz val="9"/>
      <color theme="1"/>
      <name val="Calibri"/>
      <scheme val="minor"/>
    </font>
    <font>
      <b/>
      <sz val="12"/>
      <color theme="1"/>
      <name val="Calibri"/>
      <scheme val="minor"/>
    </font>
    <font>
      <b/>
      <sz val="10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7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7" fontId="5" fillId="0" borderId="0" xfId="0" applyNumberFormat="1" applyFont="1" applyAlignment="1">
      <alignment horizontal="center"/>
    </xf>
    <xf numFmtId="7" fontId="3" fillId="0" borderId="0" xfId="0" applyNumberFormat="1" applyFont="1" applyAlignment="1">
      <alignment horizontal="center" vertical="center"/>
    </xf>
    <xf numFmtId="7" fontId="3" fillId="0" borderId="0" xfId="0" applyNumberFormat="1" applyFont="1" applyAlignment="1">
      <alignment horizontal="center"/>
    </xf>
    <xf numFmtId="7" fontId="6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7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7" fontId="5" fillId="2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left"/>
    </xf>
    <xf numFmtId="7" fontId="5" fillId="0" borderId="1" xfId="0" applyNumberFormat="1" applyFont="1" applyBorder="1" applyAlignment="1">
      <alignment horizontal="center"/>
    </xf>
    <xf numFmtId="7" fontId="5" fillId="0" borderId="0" xfId="0" applyNumberFormat="1" applyFont="1"/>
    <xf numFmtId="0" fontId="5" fillId="0" borderId="5" xfId="0" applyFont="1" applyBorder="1" applyAlignment="1">
      <alignment horizontal="left"/>
    </xf>
    <xf numFmtId="7" fontId="5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7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7" fontId="5" fillId="0" borderId="4" xfId="0" applyNumberFormat="1" applyFont="1" applyBorder="1"/>
    <xf numFmtId="0" fontId="7" fillId="0" borderId="0" xfId="0" applyFont="1" applyAlignment="1">
      <alignment horizontal="right" vertical="center"/>
    </xf>
    <xf numFmtId="7" fontId="9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7" fontId="9" fillId="0" borderId="4" xfId="0" applyNumberFormat="1" applyFont="1" applyBorder="1"/>
    <xf numFmtId="0" fontId="9" fillId="0" borderId="0" xfId="0" applyFont="1" applyAlignment="1">
      <alignment horizontal="right"/>
    </xf>
    <xf numFmtId="7" fontId="9" fillId="0" borderId="0" xfId="0" applyNumberFormat="1" applyFont="1"/>
    <xf numFmtId="7" fontId="12" fillId="2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12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1" applyFont="1" applyAlignment="1">
      <alignment horizontal="lef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7" fontId="5" fillId="2" borderId="0" xfId="0" applyNumberFormat="1" applyFont="1" applyFill="1"/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9" fillId="3" borderId="6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7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urth.ds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5"/>
  <sheetViews>
    <sheetView tabSelected="1" topLeftCell="A44" workbookViewId="0">
      <selection activeCell="H48" sqref="H48:H52"/>
    </sheetView>
  </sheetViews>
  <sheetFormatPr defaultRowHeight="15"/>
  <cols>
    <col min="1" max="1" width="11.42578125" style="3" customWidth="1"/>
    <col min="2" max="2" width="29.85546875" style="3" customWidth="1"/>
    <col min="3" max="3" width="14.7109375" style="3" customWidth="1"/>
    <col min="4" max="4" width="26" style="1" customWidth="1"/>
    <col min="5" max="5" width="8.5703125" customWidth="1"/>
    <col min="6" max="6" width="18.42578125" customWidth="1"/>
    <col min="8" max="8" width="14.5703125" customWidth="1"/>
  </cols>
  <sheetData>
    <row r="1" spans="1:6" ht="18.75">
      <c r="A1" s="64" t="s">
        <v>0</v>
      </c>
      <c r="B1" s="64"/>
      <c r="C1" s="64"/>
      <c r="D1" s="64"/>
      <c r="E1" s="41" t="s">
        <v>1</v>
      </c>
      <c r="F1" s="13"/>
    </row>
    <row r="2" spans="1:6">
      <c r="A2" s="7" t="s">
        <v>2</v>
      </c>
      <c r="B2" s="48" t="s">
        <v>3</v>
      </c>
      <c r="C2" s="7" t="s">
        <v>4</v>
      </c>
      <c r="D2" s="43">
        <v>1</v>
      </c>
      <c r="E2" s="12"/>
      <c r="F2" s="13"/>
    </row>
    <row r="3" spans="1:6">
      <c r="A3" s="7" t="s">
        <v>5</v>
      </c>
      <c r="B3" s="7" t="s">
        <v>6</v>
      </c>
      <c r="C3" s="7" t="s">
        <v>7</v>
      </c>
      <c r="D3" s="8" t="s">
        <v>8</v>
      </c>
      <c r="E3" s="12"/>
      <c r="F3" s="13"/>
    </row>
    <row r="4" spans="1:6">
      <c r="A4" s="7" t="s">
        <v>9</v>
      </c>
      <c r="B4" s="7" t="s">
        <v>6</v>
      </c>
      <c r="C4" s="7" t="s">
        <v>10</v>
      </c>
      <c r="D4" s="8" t="s">
        <v>6</v>
      </c>
      <c r="E4" s="12"/>
      <c r="F4" s="13"/>
    </row>
    <row r="5" spans="1:6">
      <c r="A5" s="7" t="s">
        <v>11</v>
      </c>
      <c r="B5" s="7" t="s">
        <v>6</v>
      </c>
      <c r="C5" s="7" t="s">
        <v>12</v>
      </c>
      <c r="D5" s="8" t="s">
        <v>6</v>
      </c>
      <c r="E5" s="12"/>
      <c r="F5" s="13"/>
    </row>
    <row r="6" spans="1:6">
      <c r="A6" s="7" t="s">
        <v>13</v>
      </c>
      <c r="B6" s="7" t="s">
        <v>6</v>
      </c>
      <c r="C6" s="7" t="s">
        <v>14</v>
      </c>
      <c r="D6" s="8"/>
      <c r="E6" s="12"/>
      <c r="F6" s="13"/>
    </row>
    <row r="7" spans="1:6">
      <c r="A7" s="7" t="s">
        <v>15</v>
      </c>
      <c r="B7" s="42" t="s">
        <v>6</v>
      </c>
      <c r="C7" s="7" t="s">
        <v>16</v>
      </c>
      <c r="D7" s="8"/>
      <c r="E7" s="12"/>
      <c r="F7" s="13"/>
    </row>
    <row r="8" spans="1:6">
      <c r="A8" s="7"/>
      <c r="B8" s="14"/>
      <c r="C8" s="7" t="s">
        <v>17</v>
      </c>
      <c r="D8" s="44" t="s">
        <v>6</v>
      </c>
      <c r="E8" s="12"/>
      <c r="F8" s="13"/>
    </row>
    <row r="9" spans="1:6">
      <c r="A9" s="15" t="s">
        <v>18</v>
      </c>
      <c r="B9" s="6" t="s">
        <v>19</v>
      </c>
      <c r="C9" s="7"/>
      <c r="E9" s="13"/>
      <c r="F9" s="13"/>
    </row>
    <row r="10" spans="1:6">
      <c r="A10" s="65" t="s">
        <v>20</v>
      </c>
      <c r="B10" s="65"/>
      <c r="C10" s="17"/>
      <c r="D10" s="16" t="s">
        <v>21</v>
      </c>
      <c r="E10" s="13" t="s">
        <v>22</v>
      </c>
      <c r="F10" s="13"/>
    </row>
    <row r="11" spans="1:6">
      <c r="A11" s="7"/>
      <c r="B11" s="7"/>
      <c r="C11" s="7"/>
      <c r="D11" s="16"/>
      <c r="E11" s="13"/>
      <c r="F11" s="13"/>
    </row>
    <row r="12" spans="1:6" ht="14.45" customHeight="1">
      <c r="A12" s="18" t="s">
        <v>6</v>
      </c>
      <c r="B12" s="18"/>
      <c r="C12" s="18"/>
      <c r="D12" s="36"/>
      <c r="E12" s="37"/>
      <c r="F12" s="37"/>
    </row>
    <row r="13" spans="1:6" ht="11.25" customHeight="1">
      <c r="A13" s="7"/>
      <c r="B13" s="7"/>
      <c r="C13" s="7"/>
      <c r="D13" s="16" t="s">
        <v>6</v>
      </c>
      <c r="E13" s="13"/>
      <c r="F13" s="13"/>
    </row>
    <row r="14" spans="1:6" ht="14.45" customHeight="1">
      <c r="A14" s="58" t="s">
        <v>23</v>
      </c>
      <c r="B14" s="59"/>
      <c r="C14" s="60"/>
      <c r="D14" s="36" t="s">
        <v>24</v>
      </c>
      <c r="E14" s="39" t="s">
        <v>25</v>
      </c>
      <c r="F14" s="39" t="s">
        <v>26</v>
      </c>
    </row>
    <row r="15" spans="1:6">
      <c r="A15" s="50" t="s">
        <v>27</v>
      </c>
      <c r="B15" s="63"/>
      <c r="C15" s="20"/>
      <c r="D15" s="21">
        <v>54489</v>
      </c>
      <c r="E15" s="13">
        <v>0</v>
      </c>
      <c r="F15" s="22">
        <f>SUM(D15*E15)</f>
        <v>0</v>
      </c>
    </row>
    <row r="16" spans="1:6">
      <c r="A16" s="50" t="s">
        <v>28</v>
      </c>
      <c r="B16" s="63"/>
      <c r="C16" s="20"/>
      <c r="D16" s="21">
        <v>55318</v>
      </c>
      <c r="E16" s="13">
        <v>0</v>
      </c>
      <c r="F16" s="22">
        <v>0</v>
      </c>
    </row>
    <row r="17" spans="1:8">
      <c r="A17" s="50" t="s">
        <v>29</v>
      </c>
      <c r="B17" s="63"/>
      <c r="C17" s="20"/>
      <c r="D17" s="21">
        <v>56608</v>
      </c>
      <c r="E17" s="13">
        <v>0</v>
      </c>
      <c r="F17" s="22">
        <v>0</v>
      </c>
    </row>
    <row r="18" spans="1:8">
      <c r="A18" s="50" t="s">
        <v>30</v>
      </c>
      <c r="B18" s="63"/>
      <c r="C18" s="20"/>
      <c r="D18" s="21">
        <v>56030</v>
      </c>
      <c r="E18" s="13">
        <v>0</v>
      </c>
      <c r="F18" s="22">
        <f t="shared" ref="F18:F126" si="0">SUM(D18*E18)</f>
        <v>0</v>
      </c>
    </row>
    <row r="19" spans="1:8">
      <c r="A19" s="50" t="s">
        <v>31</v>
      </c>
      <c r="B19" s="51"/>
      <c r="C19" s="23"/>
      <c r="D19" s="24">
        <v>55201</v>
      </c>
      <c r="E19" s="13">
        <v>0</v>
      </c>
      <c r="F19" s="22">
        <f t="shared" si="0"/>
        <v>0</v>
      </c>
    </row>
    <row r="20" spans="1:8">
      <c r="A20" s="50" t="s">
        <v>32</v>
      </c>
      <c r="B20" s="51"/>
      <c r="C20" s="23"/>
      <c r="D20" s="24"/>
      <c r="E20" s="13">
        <v>0</v>
      </c>
      <c r="F20" s="22">
        <f t="shared" si="0"/>
        <v>0</v>
      </c>
    </row>
    <row r="21" spans="1:8">
      <c r="A21" s="50" t="s">
        <v>33</v>
      </c>
      <c r="B21" s="51"/>
      <c r="C21" s="23"/>
      <c r="D21" s="24">
        <v>49283</v>
      </c>
      <c r="E21" s="13">
        <v>0</v>
      </c>
      <c r="F21" s="22">
        <f t="shared" ref="F21:F22" si="1">SUM(D21*E21)</f>
        <v>0</v>
      </c>
    </row>
    <row r="22" spans="1:8" ht="14.25" customHeight="1">
      <c r="A22" s="50" t="s">
        <v>34</v>
      </c>
      <c r="B22" s="51"/>
      <c r="C22" s="45" t="s">
        <v>35</v>
      </c>
      <c r="D22" s="24">
        <v>329</v>
      </c>
      <c r="E22" s="13">
        <v>0</v>
      </c>
      <c r="F22" s="22">
        <f t="shared" si="1"/>
        <v>0</v>
      </c>
    </row>
    <row r="23" spans="1:8">
      <c r="A23" s="50" t="s">
        <v>36</v>
      </c>
      <c r="B23" s="51"/>
      <c r="C23" s="23"/>
      <c r="D23" s="24">
        <v>7995</v>
      </c>
      <c r="E23" s="13">
        <v>0</v>
      </c>
      <c r="F23" s="22">
        <f t="shared" si="0"/>
        <v>0</v>
      </c>
    </row>
    <row r="24" spans="1:8">
      <c r="A24" s="50" t="s">
        <v>37</v>
      </c>
      <c r="B24" s="51"/>
      <c r="C24" s="23"/>
      <c r="D24" s="24">
        <v>3791</v>
      </c>
      <c r="E24" s="13">
        <v>0</v>
      </c>
      <c r="F24" s="22">
        <f t="shared" ref="F24" si="2">SUM(D24*E24)</f>
        <v>0</v>
      </c>
    </row>
    <row r="25" spans="1:8">
      <c r="A25" s="50" t="s">
        <v>38</v>
      </c>
      <c r="B25" s="51"/>
      <c r="C25" s="23" t="s">
        <v>6</v>
      </c>
      <c r="D25" s="24">
        <v>0</v>
      </c>
      <c r="E25" s="13">
        <v>1</v>
      </c>
      <c r="F25" s="22">
        <f t="shared" si="0"/>
        <v>0</v>
      </c>
    </row>
    <row r="26" spans="1:8">
      <c r="A26" s="50"/>
      <c r="B26" s="51"/>
      <c r="C26" s="23"/>
      <c r="D26" s="24"/>
      <c r="E26" s="13">
        <v>0</v>
      </c>
      <c r="F26" s="22">
        <f t="shared" ref="F26" si="3">SUM(D26*E26)</f>
        <v>0</v>
      </c>
    </row>
    <row r="27" spans="1:8">
      <c r="A27" s="58" t="s">
        <v>39</v>
      </c>
      <c r="B27" s="59"/>
      <c r="C27" s="61"/>
      <c r="D27" s="24"/>
      <c r="E27" s="13">
        <f>IF(SUM(E28:E34)&gt;0,1,"")</f>
        <v>1</v>
      </c>
      <c r="F27" s="22" t="s">
        <v>6</v>
      </c>
    </row>
    <row r="28" spans="1:8">
      <c r="A28" s="50" t="s">
        <v>40</v>
      </c>
      <c r="B28" s="51"/>
      <c r="C28" s="23"/>
      <c r="D28" s="24">
        <v>3995</v>
      </c>
      <c r="E28" s="13">
        <v>1</v>
      </c>
      <c r="F28" s="49">
        <f t="shared" si="0"/>
        <v>3995</v>
      </c>
    </row>
    <row r="29" spans="1:8">
      <c r="A29" s="50" t="s">
        <v>41</v>
      </c>
      <c r="B29" s="51"/>
      <c r="C29" s="23"/>
      <c r="D29" s="24">
        <v>4995</v>
      </c>
      <c r="E29" s="13">
        <v>0</v>
      </c>
      <c r="F29" s="22">
        <f t="shared" ref="F29" si="4">SUM(D29*E29)</f>
        <v>0</v>
      </c>
    </row>
    <row r="30" spans="1:8">
      <c r="A30" s="52" t="s">
        <v>42</v>
      </c>
      <c r="B30" s="53"/>
      <c r="C30" s="25"/>
      <c r="D30" s="26">
        <v>7995</v>
      </c>
      <c r="E30" s="13">
        <v>0</v>
      </c>
      <c r="F30" s="22">
        <f t="shared" si="0"/>
        <v>0</v>
      </c>
      <c r="G30" s="4"/>
      <c r="H30" s="4"/>
    </row>
    <row r="31" spans="1:8">
      <c r="A31" s="52" t="s">
        <v>43</v>
      </c>
      <c r="B31" s="53"/>
      <c r="C31" s="25"/>
      <c r="D31" s="26">
        <v>11995</v>
      </c>
      <c r="E31" s="13">
        <v>0</v>
      </c>
      <c r="F31" s="22">
        <f t="shared" ref="F31" si="5">SUM(D31*E31)</f>
        <v>0</v>
      </c>
      <c r="G31" s="4"/>
      <c r="H31" s="4"/>
    </row>
    <row r="32" spans="1:8">
      <c r="A32" s="52" t="s">
        <v>44</v>
      </c>
      <c r="B32" s="53"/>
      <c r="C32" s="25"/>
      <c r="D32" s="26"/>
      <c r="E32" s="13">
        <v>0</v>
      </c>
      <c r="F32" s="22">
        <f t="shared" ref="F32" si="6">SUM(D32*E32)</f>
        <v>0</v>
      </c>
      <c r="G32" s="4"/>
      <c r="H32" s="4"/>
    </row>
    <row r="33" spans="1:8">
      <c r="A33" s="52" t="s">
        <v>45</v>
      </c>
      <c r="B33" s="53"/>
      <c r="C33" s="25"/>
      <c r="D33" s="26">
        <v>395</v>
      </c>
      <c r="E33" s="13">
        <v>0</v>
      </c>
      <c r="F33" s="22">
        <f t="shared" ref="F33:F34" si="7">SUM(D33*E33)</f>
        <v>0</v>
      </c>
      <c r="G33" s="4"/>
      <c r="H33" s="4"/>
    </row>
    <row r="34" spans="1:8">
      <c r="A34" s="52" t="s">
        <v>46</v>
      </c>
      <c r="B34" s="62"/>
      <c r="C34" s="28"/>
      <c r="D34" s="26">
        <v>475</v>
      </c>
      <c r="E34" s="13">
        <v>1</v>
      </c>
      <c r="F34" s="49">
        <v>475</v>
      </c>
      <c r="G34" s="4"/>
      <c r="H34" s="4"/>
    </row>
    <row r="35" spans="1:8">
      <c r="A35" s="54" t="s">
        <v>47</v>
      </c>
      <c r="B35" s="55"/>
      <c r="C35" s="56"/>
      <c r="D35" s="26"/>
      <c r="E35" s="13">
        <f>IF(SUM(E36:E38)&gt;0,1,"")</f>
        <v>1</v>
      </c>
      <c r="F35" s="49"/>
      <c r="G35" s="4"/>
      <c r="H35" s="4"/>
    </row>
    <row r="36" spans="1:8">
      <c r="A36" s="52" t="s">
        <v>48</v>
      </c>
      <c r="B36" s="53"/>
      <c r="C36" s="25"/>
      <c r="D36" s="26">
        <v>390</v>
      </c>
      <c r="E36" s="13">
        <v>1</v>
      </c>
      <c r="F36" s="49">
        <f t="shared" ref="F36:F38" si="8">SUM(D36*E36)</f>
        <v>390</v>
      </c>
      <c r="G36" s="4"/>
      <c r="H36" s="4"/>
    </row>
    <row r="37" spans="1:8">
      <c r="A37" s="52" t="s">
        <v>49</v>
      </c>
      <c r="B37" s="53"/>
      <c r="C37" s="25"/>
      <c r="D37" s="26">
        <v>5</v>
      </c>
      <c r="E37" s="13">
        <v>1</v>
      </c>
      <c r="F37" s="49">
        <f t="shared" si="8"/>
        <v>5</v>
      </c>
      <c r="G37" s="4"/>
      <c r="H37" s="4"/>
    </row>
    <row r="38" spans="1:8">
      <c r="A38" s="52" t="s">
        <v>50</v>
      </c>
      <c r="B38" s="62"/>
      <c r="C38" s="28"/>
      <c r="D38" s="26">
        <v>75</v>
      </c>
      <c r="E38" s="13">
        <v>1</v>
      </c>
      <c r="F38" s="49">
        <f t="shared" si="8"/>
        <v>75</v>
      </c>
      <c r="G38" s="4"/>
      <c r="H38" s="4"/>
    </row>
    <row r="39" spans="1:8">
      <c r="A39" s="54" t="s">
        <v>51</v>
      </c>
      <c r="B39" s="55"/>
      <c r="C39" s="56"/>
      <c r="D39" s="26"/>
      <c r="E39" s="13" t="str">
        <f>IF(SUM(E40)&gt;0,1,"")</f>
        <v/>
      </c>
      <c r="F39" s="22"/>
      <c r="G39" s="4"/>
      <c r="H39" s="4"/>
    </row>
    <row r="40" spans="1:8">
      <c r="A40" s="52" t="s">
        <v>52</v>
      </c>
      <c r="B40" s="53"/>
      <c r="C40" s="40">
        <v>8</v>
      </c>
      <c r="D40" s="26">
        <v>695</v>
      </c>
      <c r="E40" s="13">
        <v>0</v>
      </c>
      <c r="F40" s="22">
        <f t="shared" si="0"/>
        <v>0</v>
      </c>
      <c r="G40" s="4"/>
      <c r="H40" s="4"/>
    </row>
    <row r="41" spans="1:8">
      <c r="A41" s="54" t="s">
        <v>53</v>
      </c>
      <c r="B41" s="55"/>
      <c r="C41" s="56"/>
      <c r="D41" s="26"/>
      <c r="E41" s="13">
        <f>IF(SUM(E42:E45)&gt;0,1,"")</f>
        <v>1</v>
      </c>
      <c r="F41" s="49"/>
      <c r="G41" s="4"/>
      <c r="H41" s="4"/>
    </row>
    <row r="42" spans="1:8">
      <c r="A42" s="52" t="s">
        <v>54</v>
      </c>
      <c r="B42" s="53"/>
      <c r="C42" s="28"/>
      <c r="D42" s="26">
        <v>1895</v>
      </c>
      <c r="E42" s="13">
        <v>0</v>
      </c>
      <c r="F42" s="22">
        <f t="shared" si="0"/>
        <v>0</v>
      </c>
      <c r="G42" s="4"/>
      <c r="H42" s="4"/>
    </row>
    <row r="43" spans="1:8">
      <c r="A43" s="52" t="s">
        <v>55</v>
      </c>
      <c r="B43" s="53"/>
      <c r="C43" s="28"/>
      <c r="D43" s="26">
        <v>5595</v>
      </c>
      <c r="E43" s="13">
        <v>0</v>
      </c>
      <c r="F43" s="22">
        <f t="shared" ref="F43" si="9">SUM(D43*E43)</f>
        <v>0</v>
      </c>
      <c r="G43" s="4"/>
      <c r="H43" s="4"/>
    </row>
    <row r="44" spans="1:8">
      <c r="A44" s="52" t="s">
        <v>56</v>
      </c>
      <c r="B44" s="53"/>
      <c r="C44" s="28"/>
      <c r="D44" s="26">
        <v>0</v>
      </c>
      <c r="E44" s="13">
        <v>1</v>
      </c>
      <c r="F44" s="49">
        <f t="shared" si="0"/>
        <v>0</v>
      </c>
      <c r="G44" s="4"/>
      <c r="H44" s="4"/>
    </row>
    <row r="45" spans="1:8">
      <c r="A45" s="52" t="s">
        <v>57</v>
      </c>
      <c r="B45" s="62"/>
      <c r="C45" s="28"/>
      <c r="D45" s="26">
        <v>0</v>
      </c>
      <c r="E45" s="13">
        <v>1</v>
      </c>
      <c r="F45" s="49">
        <f t="shared" si="0"/>
        <v>0</v>
      </c>
      <c r="G45" s="4"/>
      <c r="H45" s="4"/>
    </row>
    <row r="46" spans="1:8">
      <c r="A46" s="54" t="s">
        <v>58</v>
      </c>
      <c r="B46" s="55"/>
      <c r="C46" s="56"/>
      <c r="D46" s="26"/>
      <c r="E46" s="13">
        <f>IF(SUM(E47:E52)&gt;0,1,"")</f>
        <v>1</v>
      </c>
      <c r="F46" s="49"/>
      <c r="G46" s="4"/>
      <c r="H46" s="4"/>
    </row>
    <row r="47" spans="1:8">
      <c r="A47" s="52" t="s">
        <v>59</v>
      </c>
      <c r="B47" s="53"/>
      <c r="C47" s="25"/>
      <c r="D47" s="26">
        <v>1395</v>
      </c>
      <c r="E47" s="13">
        <v>0</v>
      </c>
      <c r="F47" s="22">
        <f t="shared" si="0"/>
        <v>0</v>
      </c>
      <c r="G47" s="4"/>
      <c r="H47" s="4"/>
    </row>
    <row r="48" spans="1:8">
      <c r="A48" s="52" t="s">
        <v>60</v>
      </c>
      <c r="B48" s="53"/>
      <c r="C48" s="25"/>
      <c r="D48" s="26">
        <v>0</v>
      </c>
      <c r="E48" s="13">
        <v>1</v>
      </c>
      <c r="F48" s="49">
        <f t="shared" si="0"/>
        <v>0</v>
      </c>
      <c r="G48" s="4"/>
      <c r="H48" s="77"/>
    </row>
    <row r="49" spans="1:8">
      <c r="A49" s="52" t="s">
        <v>61</v>
      </c>
      <c r="B49" s="53"/>
      <c r="C49" s="25"/>
      <c r="D49" s="26">
        <v>1295</v>
      </c>
      <c r="E49" s="13">
        <v>0</v>
      </c>
      <c r="F49" s="22">
        <f t="shared" si="0"/>
        <v>0</v>
      </c>
      <c r="G49" s="4"/>
      <c r="H49" s="77"/>
    </row>
    <row r="50" spans="1:8">
      <c r="A50" s="52" t="s">
        <v>62</v>
      </c>
      <c r="B50" s="53"/>
      <c r="C50" s="25"/>
      <c r="D50" s="26">
        <v>4995</v>
      </c>
      <c r="E50" s="13">
        <v>0</v>
      </c>
      <c r="F50" s="22">
        <f t="shared" si="0"/>
        <v>0</v>
      </c>
      <c r="G50" s="4"/>
      <c r="H50" s="4"/>
    </row>
    <row r="51" spans="1:8">
      <c r="A51" s="52" t="s">
        <v>63</v>
      </c>
      <c r="B51" s="53"/>
      <c r="C51" s="25"/>
      <c r="D51" s="26">
        <v>5995</v>
      </c>
      <c r="E51" s="13">
        <v>0</v>
      </c>
      <c r="F51" s="22">
        <f t="shared" si="0"/>
        <v>0</v>
      </c>
      <c r="G51" s="4"/>
      <c r="H51" s="77"/>
    </row>
    <row r="52" spans="1:8">
      <c r="A52" s="52" t="s">
        <v>64</v>
      </c>
      <c r="B52" s="62"/>
      <c r="C52" s="28"/>
      <c r="D52" s="26"/>
      <c r="E52" s="13">
        <v>0</v>
      </c>
      <c r="F52" s="22">
        <f t="shared" si="0"/>
        <v>0</v>
      </c>
      <c r="G52" s="4"/>
      <c r="H52" s="77"/>
    </row>
    <row r="53" spans="1:8">
      <c r="A53" s="52" t="s">
        <v>65</v>
      </c>
      <c r="B53" s="57"/>
      <c r="C53" s="28"/>
      <c r="D53" s="26"/>
      <c r="E53" s="13">
        <v>0</v>
      </c>
      <c r="F53" s="22"/>
      <c r="G53" s="4"/>
      <c r="H53" s="4"/>
    </row>
    <row r="54" spans="1:8">
      <c r="A54" s="54" t="s">
        <v>66</v>
      </c>
      <c r="B54" s="55"/>
      <c r="C54" s="56"/>
      <c r="D54" s="26"/>
      <c r="E54" s="13">
        <f>IF(SUM(E55:E64)&gt;0,1,"")</f>
        <v>1</v>
      </c>
      <c r="F54" s="49"/>
      <c r="G54" s="4"/>
      <c r="H54" s="4"/>
    </row>
    <row r="55" spans="1:8">
      <c r="A55" s="52" t="s">
        <v>67</v>
      </c>
      <c r="B55" s="53"/>
      <c r="C55" s="25"/>
      <c r="D55" s="26">
        <v>827</v>
      </c>
      <c r="E55" s="13">
        <v>0</v>
      </c>
      <c r="F55" s="22">
        <f t="shared" si="0"/>
        <v>0</v>
      </c>
      <c r="G55" s="4"/>
      <c r="H55" s="4"/>
    </row>
    <row r="56" spans="1:8">
      <c r="A56" s="52" t="s">
        <v>68</v>
      </c>
      <c r="B56" s="53"/>
      <c r="C56" s="25"/>
      <c r="D56" s="26">
        <v>1695</v>
      </c>
      <c r="E56" s="13">
        <v>0</v>
      </c>
      <c r="F56" s="22">
        <f t="shared" si="0"/>
        <v>0</v>
      </c>
      <c r="G56" s="4"/>
      <c r="H56" s="4"/>
    </row>
    <row r="57" spans="1:8">
      <c r="A57" s="52" t="s">
        <v>69</v>
      </c>
      <c r="B57" s="53"/>
      <c r="C57" s="25"/>
      <c r="D57" s="26"/>
      <c r="E57" s="13">
        <v>0</v>
      </c>
      <c r="F57" s="22">
        <f t="shared" si="0"/>
        <v>0</v>
      </c>
      <c r="G57" s="4"/>
      <c r="H57" s="4"/>
    </row>
    <row r="58" spans="1:8">
      <c r="A58" s="52" t="s">
        <v>70</v>
      </c>
      <c r="B58" s="53"/>
      <c r="C58" s="25"/>
      <c r="D58" s="26"/>
      <c r="E58" s="13">
        <v>0</v>
      </c>
      <c r="F58" s="22">
        <f t="shared" si="0"/>
        <v>0</v>
      </c>
      <c r="G58" s="4"/>
      <c r="H58" s="4"/>
    </row>
    <row r="59" spans="1:8">
      <c r="A59" s="52" t="s">
        <v>71</v>
      </c>
      <c r="B59" s="53"/>
      <c r="C59" s="25"/>
      <c r="D59" s="26">
        <v>2075</v>
      </c>
      <c r="E59" s="13">
        <v>0</v>
      </c>
      <c r="F59" s="22">
        <f t="shared" si="0"/>
        <v>0</v>
      </c>
      <c r="G59" s="4"/>
      <c r="H59" s="4"/>
    </row>
    <row r="60" spans="1:8">
      <c r="A60" s="52" t="s">
        <v>72</v>
      </c>
      <c r="B60" s="53"/>
      <c r="C60" s="25"/>
      <c r="D60" s="26">
        <v>1195</v>
      </c>
      <c r="E60" s="13">
        <v>0</v>
      </c>
      <c r="F60" s="22">
        <f t="shared" si="0"/>
        <v>0</v>
      </c>
      <c r="G60" s="4"/>
      <c r="H60" s="4"/>
    </row>
    <row r="61" spans="1:8">
      <c r="A61" s="52" t="s">
        <v>73</v>
      </c>
      <c r="B61" s="53"/>
      <c r="C61" s="25"/>
      <c r="D61" s="26">
        <v>200</v>
      </c>
      <c r="E61" s="13">
        <v>0</v>
      </c>
      <c r="F61" s="22">
        <f t="shared" si="0"/>
        <v>0</v>
      </c>
      <c r="G61" s="4"/>
      <c r="H61" s="4"/>
    </row>
    <row r="62" spans="1:8">
      <c r="A62" s="52" t="s">
        <v>74</v>
      </c>
      <c r="B62" s="53"/>
      <c r="C62" s="25"/>
      <c r="D62" s="26"/>
      <c r="E62" s="13">
        <v>0</v>
      </c>
      <c r="F62" s="22">
        <f t="shared" si="0"/>
        <v>0</v>
      </c>
      <c r="G62" s="4"/>
      <c r="H62" s="4"/>
    </row>
    <row r="63" spans="1:8">
      <c r="A63" s="52" t="s">
        <v>75</v>
      </c>
      <c r="B63" s="53"/>
      <c r="C63" s="25"/>
      <c r="D63" s="26">
        <v>30</v>
      </c>
      <c r="E63" s="13">
        <v>4</v>
      </c>
      <c r="F63" s="49">
        <f t="shared" ref="F63:F67" si="10">SUM(D63*E63)</f>
        <v>120</v>
      </c>
      <c r="G63" s="4"/>
      <c r="H63" s="4"/>
    </row>
    <row r="64" spans="1:8">
      <c r="A64" s="52" t="s">
        <v>76</v>
      </c>
      <c r="B64" s="62"/>
      <c r="C64" s="28"/>
      <c r="D64" s="26"/>
      <c r="E64" s="13">
        <v>0</v>
      </c>
      <c r="F64" s="22">
        <f t="shared" si="10"/>
        <v>0</v>
      </c>
      <c r="G64" s="4"/>
      <c r="H64" s="4"/>
    </row>
    <row r="65" spans="1:8">
      <c r="A65" s="52" t="s">
        <v>77</v>
      </c>
      <c r="B65" s="57"/>
      <c r="C65" s="28"/>
      <c r="D65" s="26">
        <v>60</v>
      </c>
      <c r="E65" s="13">
        <v>0</v>
      </c>
      <c r="F65" s="22"/>
      <c r="G65" s="4"/>
      <c r="H65" s="4"/>
    </row>
    <row r="66" spans="1:8">
      <c r="A66" s="54" t="s">
        <v>78</v>
      </c>
      <c r="B66" s="55"/>
      <c r="C66" s="56"/>
      <c r="D66" s="26"/>
      <c r="E66" s="13" t="str">
        <f>IF(SUM(E67)&gt;0,1,"")</f>
        <v/>
      </c>
      <c r="F66" s="22"/>
      <c r="G66" s="4"/>
      <c r="H66" s="4"/>
    </row>
    <row r="67" spans="1:8">
      <c r="A67" s="52" t="s">
        <v>79</v>
      </c>
      <c r="B67" s="53"/>
      <c r="C67" s="25"/>
      <c r="D67" s="26">
        <v>7995</v>
      </c>
      <c r="E67" s="13">
        <v>0</v>
      </c>
      <c r="F67" s="22">
        <f t="shared" si="10"/>
        <v>0</v>
      </c>
      <c r="G67" s="4"/>
      <c r="H67" s="4"/>
    </row>
    <row r="68" spans="1:8">
      <c r="A68" s="54" t="s">
        <v>80</v>
      </c>
      <c r="B68" s="55"/>
      <c r="C68" s="56"/>
      <c r="D68" s="26"/>
      <c r="E68" s="13">
        <f>IF(SUM(E69:E78)&gt;0,1,"")</f>
        <v>1</v>
      </c>
      <c r="F68" s="49"/>
      <c r="G68" s="4"/>
      <c r="H68" s="4"/>
    </row>
    <row r="69" spans="1:8">
      <c r="A69" s="52" t="s">
        <v>81</v>
      </c>
      <c r="B69" s="53"/>
      <c r="C69" s="25"/>
      <c r="D69" s="26">
        <v>5819</v>
      </c>
      <c r="E69" s="13">
        <v>0</v>
      </c>
      <c r="F69" s="22">
        <f t="shared" si="0"/>
        <v>0</v>
      </c>
      <c r="G69" s="4"/>
      <c r="H69" s="4"/>
    </row>
    <row r="70" spans="1:8">
      <c r="A70" s="52" t="s">
        <v>82</v>
      </c>
      <c r="B70" s="53"/>
      <c r="C70" s="25"/>
      <c r="D70" s="26">
        <v>5995</v>
      </c>
      <c r="E70" s="13">
        <v>0</v>
      </c>
      <c r="F70" s="22">
        <f t="shared" si="0"/>
        <v>0</v>
      </c>
      <c r="G70" s="4"/>
      <c r="H70" s="4"/>
    </row>
    <row r="71" spans="1:8">
      <c r="A71" s="52" t="s">
        <v>83</v>
      </c>
      <c r="B71" s="53"/>
      <c r="C71" s="25"/>
      <c r="D71" s="26">
        <v>7195</v>
      </c>
      <c r="E71" s="13">
        <v>1</v>
      </c>
      <c r="F71" s="49">
        <f t="shared" si="0"/>
        <v>7195</v>
      </c>
      <c r="G71" s="4"/>
      <c r="H71" s="4"/>
    </row>
    <row r="72" spans="1:8">
      <c r="A72" s="52" t="s">
        <v>84</v>
      </c>
      <c r="B72" s="53"/>
      <c r="C72" s="25"/>
      <c r="D72" s="26">
        <v>6995</v>
      </c>
      <c r="E72" s="13">
        <v>0</v>
      </c>
      <c r="F72" s="22">
        <f t="shared" ref="F72:F75" si="11">SUM(D72*E72)</f>
        <v>0</v>
      </c>
      <c r="G72" s="4"/>
      <c r="H72" s="4"/>
    </row>
    <row r="73" spans="1:8">
      <c r="A73" s="52" t="s">
        <v>85</v>
      </c>
      <c r="B73" s="53"/>
      <c r="C73" s="25"/>
      <c r="D73" s="26">
        <v>5995</v>
      </c>
      <c r="E73" s="13">
        <v>0</v>
      </c>
      <c r="F73" s="22">
        <f t="shared" si="11"/>
        <v>0</v>
      </c>
      <c r="G73" s="4"/>
      <c r="H73" s="4"/>
    </row>
    <row r="74" spans="1:8">
      <c r="A74" s="52" t="s">
        <v>86</v>
      </c>
      <c r="B74" s="53"/>
      <c r="C74" s="25"/>
      <c r="D74" s="26">
        <v>6995</v>
      </c>
      <c r="E74" s="13">
        <v>0</v>
      </c>
      <c r="F74" s="22">
        <f t="shared" si="11"/>
        <v>0</v>
      </c>
      <c r="G74" s="4"/>
      <c r="H74" s="4"/>
    </row>
    <row r="75" spans="1:8">
      <c r="A75" s="52"/>
      <c r="B75" s="53"/>
      <c r="C75" s="25"/>
      <c r="D75" s="26"/>
      <c r="E75" s="13">
        <v>0</v>
      </c>
      <c r="F75" s="22">
        <f t="shared" si="11"/>
        <v>0</v>
      </c>
      <c r="G75" s="4"/>
      <c r="H75" s="4"/>
    </row>
    <row r="76" spans="1:8">
      <c r="A76" s="52" t="s">
        <v>87</v>
      </c>
      <c r="B76" s="53"/>
      <c r="C76" s="25"/>
      <c r="D76" s="26">
        <v>8699</v>
      </c>
      <c r="E76" s="13">
        <v>0</v>
      </c>
      <c r="F76" s="22">
        <f t="shared" si="0"/>
        <v>0</v>
      </c>
      <c r="G76" s="4"/>
      <c r="H76" s="4"/>
    </row>
    <row r="77" spans="1:8">
      <c r="A77" s="52" t="s">
        <v>88</v>
      </c>
      <c r="B77" s="53"/>
      <c r="C77" s="28"/>
      <c r="D77" s="26">
        <v>695</v>
      </c>
      <c r="E77" s="13">
        <v>1</v>
      </c>
      <c r="F77" s="49">
        <f t="shared" si="0"/>
        <v>695</v>
      </c>
      <c r="G77" s="4"/>
      <c r="H77" s="4"/>
    </row>
    <row r="78" spans="1:8">
      <c r="A78" s="52" t="s">
        <v>89</v>
      </c>
      <c r="B78" s="62"/>
      <c r="C78" s="28"/>
      <c r="D78" s="26">
        <v>495</v>
      </c>
      <c r="E78" s="13">
        <v>1</v>
      </c>
      <c r="F78" s="49">
        <v>625</v>
      </c>
      <c r="G78" s="4"/>
      <c r="H78" s="4"/>
    </row>
    <row r="79" spans="1:8">
      <c r="A79" s="54" t="s">
        <v>90</v>
      </c>
      <c r="B79" s="55"/>
      <c r="C79" s="56"/>
      <c r="D79" s="26"/>
      <c r="E79" s="13">
        <f>IF(SUM(E80:E88)&gt;0,1,"")</f>
        <v>1</v>
      </c>
      <c r="F79" s="49"/>
      <c r="G79" s="4"/>
      <c r="H79" s="4"/>
    </row>
    <row r="80" spans="1:8">
      <c r="A80" s="52" t="s">
        <v>91</v>
      </c>
      <c r="B80" s="53"/>
      <c r="C80" s="25"/>
      <c r="D80" s="26">
        <v>150</v>
      </c>
      <c r="E80" s="13">
        <v>3</v>
      </c>
      <c r="F80" s="49">
        <f t="shared" si="0"/>
        <v>450</v>
      </c>
      <c r="G80" s="5"/>
      <c r="H80" s="5"/>
    </row>
    <row r="81" spans="1:8">
      <c r="A81" s="52" t="s">
        <v>92</v>
      </c>
      <c r="B81" s="53"/>
      <c r="C81" s="25"/>
      <c r="D81" s="26">
        <v>0</v>
      </c>
      <c r="E81" s="13">
        <v>2</v>
      </c>
      <c r="F81" s="49">
        <f t="shared" si="0"/>
        <v>0</v>
      </c>
      <c r="G81" s="4"/>
      <c r="H81" s="4"/>
    </row>
    <row r="82" spans="1:8">
      <c r="A82" s="52" t="s">
        <v>93</v>
      </c>
      <c r="B82" s="53"/>
      <c r="C82" s="28"/>
      <c r="D82" s="26">
        <v>249</v>
      </c>
      <c r="E82" s="13">
        <v>0</v>
      </c>
      <c r="F82" s="22">
        <f t="shared" ref="F82" si="12">SUM(D82*E82)</f>
        <v>0</v>
      </c>
      <c r="G82" s="4"/>
      <c r="H82" s="4"/>
    </row>
    <row r="83" spans="1:8">
      <c r="A83" s="52" t="s">
        <v>94</v>
      </c>
      <c r="B83" s="53"/>
      <c r="C83" s="28"/>
      <c r="D83" s="26">
        <v>595</v>
      </c>
      <c r="E83" s="13">
        <v>2</v>
      </c>
      <c r="F83" s="49">
        <f t="shared" si="0"/>
        <v>1190</v>
      </c>
      <c r="G83" s="4"/>
      <c r="H83" s="4"/>
    </row>
    <row r="84" spans="1:8">
      <c r="A84" s="52" t="s">
        <v>95</v>
      </c>
      <c r="B84" s="53"/>
      <c r="C84" s="25"/>
      <c r="D84" s="26">
        <v>52</v>
      </c>
      <c r="E84" s="13">
        <v>0</v>
      </c>
      <c r="F84" s="22">
        <f t="shared" si="0"/>
        <v>0</v>
      </c>
      <c r="G84" s="4"/>
      <c r="H84" s="4"/>
    </row>
    <row r="85" spans="1:8">
      <c r="A85" s="52" t="s">
        <v>96</v>
      </c>
      <c r="B85" s="53"/>
      <c r="C85" s="25"/>
      <c r="D85" s="26">
        <v>723</v>
      </c>
      <c r="E85" s="13">
        <v>0</v>
      </c>
      <c r="F85" s="22">
        <f t="shared" si="0"/>
        <v>0</v>
      </c>
      <c r="G85" s="4"/>
      <c r="H85" s="4"/>
    </row>
    <row r="86" spans="1:8">
      <c r="A86" s="52" t="s">
        <v>97</v>
      </c>
      <c r="B86" s="53"/>
      <c r="C86" s="28"/>
      <c r="D86" s="26">
        <v>150</v>
      </c>
      <c r="E86" s="13">
        <v>0</v>
      </c>
      <c r="F86" s="22">
        <f t="shared" si="0"/>
        <v>0</v>
      </c>
      <c r="G86" s="4"/>
      <c r="H86" s="4"/>
    </row>
    <row r="87" spans="1:8">
      <c r="A87" s="52" t="s">
        <v>98</v>
      </c>
      <c r="B87" s="53"/>
      <c r="C87" s="28"/>
      <c r="D87" s="26">
        <v>15</v>
      </c>
      <c r="E87" s="13">
        <v>0</v>
      </c>
      <c r="F87" s="22">
        <f t="shared" si="0"/>
        <v>0</v>
      </c>
      <c r="G87" s="4"/>
      <c r="H87" s="4"/>
    </row>
    <row r="88" spans="1:8">
      <c r="A88" s="52"/>
      <c r="B88" s="62"/>
      <c r="C88" s="28"/>
      <c r="D88" s="26"/>
      <c r="E88" s="13">
        <v>0</v>
      </c>
      <c r="F88" s="22">
        <f t="shared" si="0"/>
        <v>0</v>
      </c>
      <c r="G88" s="4"/>
      <c r="H88" s="4"/>
    </row>
    <row r="89" spans="1:8">
      <c r="A89" s="54" t="s">
        <v>99</v>
      </c>
      <c r="B89" s="55"/>
      <c r="C89" s="56"/>
      <c r="D89" s="26"/>
      <c r="E89" s="13">
        <f>IF(SUM(E90:E91)&gt;0,1,"")</f>
        <v>1</v>
      </c>
      <c r="F89" s="49"/>
      <c r="G89" s="4"/>
      <c r="H89" s="4"/>
    </row>
    <row r="90" spans="1:8">
      <c r="A90" s="52" t="s">
        <v>100</v>
      </c>
      <c r="B90" s="53"/>
      <c r="C90" s="28"/>
      <c r="D90" s="26">
        <v>3495</v>
      </c>
      <c r="E90" s="13">
        <v>1</v>
      </c>
      <c r="F90" s="49">
        <f t="shared" si="0"/>
        <v>3495</v>
      </c>
      <c r="G90" s="4"/>
      <c r="H90" s="4"/>
    </row>
    <row r="91" spans="1:8">
      <c r="A91" s="52" t="s">
        <v>101</v>
      </c>
      <c r="B91" s="53"/>
      <c r="C91" s="28"/>
      <c r="D91" s="26">
        <v>1494</v>
      </c>
      <c r="E91" s="13">
        <v>1</v>
      </c>
      <c r="F91" s="49">
        <v>1494</v>
      </c>
      <c r="G91" s="4"/>
      <c r="H91" s="4"/>
    </row>
    <row r="92" spans="1:8">
      <c r="A92" s="52" t="s">
        <v>102</v>
      </c>
      <c r="B92" s="57"/>
      <c r="C92" s="28"/>
      <c r="D92" s="26"/>
      <c r="E92" s="13">
        <v>0</v>
      </c>
      <c r="F92" s="22"/>
      <c r="G92" s="4"/>
      <c r="H92" s="4"/>
    </row>
    <row r="93" spans="1:8">
      <c r="A93" s="54" t="s">
        <v>103</v>
      </c>
      <c r="B93" s="55"/>
      <c r="C93" s="56"/>
      <c r="D93" s="26"/>
      <c r="E93" s="13" t="str">
        <f>IF(SUM(E94:E97)&gt;0,1,"")</f>
        <v/>
      </c>
      <c r="F93" s="22"/>
      <c r="G93" s="4"/>
      <c r="H93" s="4"/>
    </row>
    <row r="94" spans="1:8">
      <c r="A94" s="52" t="s">
        <v>104</v>
      </c>
      <c r="B94" s="53"/>
      <c r="C94" s="28"/>
      <c r="D94" s="26">
        <v>199</v>
      </c>
      <c r="E94" s="13">
        <v>0</v>
      </c>
      <c r="F94" s="22">
        <f t="shared" si="0"/>
        <v>0</v>
      </c>
      <c r="G94" s="4"/>
      <c r="H94" s="4"/>
    </row>
    <row r="95" spans="1:8">
      <c r="A95" s="52" t="s">
        <v>105</v>
      </c>
      <c r="B95" s="53"/>
      <c r="C95" s="28"/>
      <c r="D95" s="26">
        <v>189</v>
      </c>
      <c r="E95" s="13">
        <v>0</v>
      </c>
      <c r="F95" s="22">
        <f t="shared" si="0"/>
        <v>0</v>
      </c>
      <c r="G95" s="4"/>
      <c r="H95" s="4"/>
    </row>
    <row r="96" spans="1:8">
      <c r="A96" s="52" t="s">
        <v>106</v>
      </c>
      <c r="B96" s="53"/>
      <c r="C96" s="28"/>
      <c r="D96" s="26">
        <v>195</v>
      </c>
      <c r="E96" s="13">
        <v>0</v>
      </c>
      <c r="F96" s="22">
        <f t="shared" si="0"/>
        <v>0</v>
      </c>
      <c r="G96" s="4"/>
      <c r="H96" s="4"/>
    </row>
    <row r="97" spans="1:8">
      <c r="A97" s="52" t="s">
        <v>107</v>
      </c>
      <c r="B97" s="53"/>
      <c r="C97" s="28"/>
      <c r="D97" s="26">
        <v>495</v>
      </c>
      <c r="E97" s="13">
        <v>0</v>
      </c>
      <c r="F97" s="22">
        <f t="shared" ref="F97" si="13">SUM(D97*E97)</f>
        <v>0</v>
      </c>
      <c r="G97" s="4"/>
      <c r="H97" s="4"/>
    </row>
    <row r="98" spans="1:8">
      <c r="A98" s="54" t="s">
        <v>108</v>
      </c>
      <c r="B98" s="55"/>
      <c r="C98" s="56"/>
      <c r="D98" s="26"/>
      <c r="E98" s="13">
        <f>IF(SUM(E99:E102)&gt;0,1,"")</f>
        <v>1</v>
      </c>
      <c r="F98" s="49"/>
      <c r="G98" s="4"/>
      <c r="H98" s="4"/>
    </row>
    <row r="99" spans="1:8">
      <c r="A99" s="52" t="s">
        <v>109</v>
      </c>
      <c r="B99" s="53"/>
      <c r="C99" s="28"/>
      <c r="D99" s="26">
        <v>5295</v>
      </c>
      <c r="E99" s="13">
        <v>1</v>
      </c>
      <c r="F99" s="49">
        <f t="shared" si="0"/>
        <v>5295</v>
      </c>
      <c r="G99" s="4"/>
      <c r="H99" s="4"/>
    </row>
    <row r="100" spans="1:8">
      <c r="A100" s="52" t="s">
        <v>110</v>
      </c>
      <c r="B100" s="53"/>
      <c r="C100" s="28"/>
      <c r="D100" s="26">
        <v>6995</v>
      </c>
      <c r="E100" s="13">
        <v>0</v>
      </c>
      <c r="F100" s="22">
        <f t="shared" si="0"/>
        <v>0</v>
      </c>
      <c r="G100" s="4"/>
      <c r="H100" s="4"/>
    </row>
    <row r="101" spans="1:8">
      <c r="A101" s="52" t="s">
        <v>111</v>
      </c>
      <c r="B101" s="53"/>
      <c r="C101" s="28"/>
      <c r="D101" s="26">
        <v>95</v>
      </c>
      <c r="E101" s="13">
        <v>0</v>
      </c>
      <c r="F101" s="22">
        <f t="shared" ref="F101" si="14">SUM(D101*E101)</f>
        <v>0</v>
      </c>
      <c r="G101" s="4"/>
      <c r="H101" s="4"/>
    </row>
    <row r="102" spans="1:8">
      <c r="A102" s="52" t="s">
        <v>112</v>
      </c>
      <c r="B102" s="53"/>
      <c r="C102" s="28"/>
      <c r="D102" s="26">
        <v>75</v>
      </c>
      <c r="E102" s="13">
        <v>1</v>
      </c>
      <c r="F102" s="49">
        <f t="shared" si="0"/>
        <v>75</v>
      </c>
      <c r="G102" s="4"/>
      <c r="H102" s="4"/>
    </row>
    <row r="103" spans="1:8">
      <c r="A103" s="76" t="s">
        <v>113</v>
      </c>
      <c r="B103" s="62"/>
      <c r="C103" s="28"/>
      <c r="D103" s="26"/>
      <c r="E103" s="13">
        <v>0</v>
      </c>
      <c r="F103" s="22">
        <v>0</v>
      </c>
      <c r="G103" s="4"/>
      <c r="H103" s="4"/>
    </row>
    <row r="104" spans="1:8">
      <c r="A104" s="52" t="s">
        <v>114</v>
      </c>
      <c r="B104" s="62"/>
      <c r="C104" s="28"/>
      <c r="D104" s="26"/>
      <c r="E104" s="13">
        <v>0</v>
      </c>
      <c r="F104" s="22">
        <v>0</v>
      </c>
      <c r="G104" s="4"/>
      <c r="H104" s="4"/>
    </row>
    <row r="105" spans="1:8">
      <c r="A105" s="54" t="s">
        <v>115</v>
      </c>
      <c r="B105" s="55"/>
      <c r="C105" s="56"/>
      <c r="D105" s="26"/>
      <c r="E105" s="13">
        <f>IF(SUM(E106:E111)&gt;0,1,"")</f>
        <v>1</v>
      </c>
      <c r="F105" s="49"/>
      <c r="G105" s="4"/>
      <c r="H105" s="4"/>
    </row>
    <row r="106" spans="1:8">
      <c r="A106" s="52" t="s">
        <v>116</v>
      </c>
      <c r="B106" s="53"/>
      <c r="C106" s="25"/>
      <c r="D106" s="26">
        <v>395</v>
      </c>
      <c r="E106" s="13">
        <v>1</v>
      </c>
      <c r="F106" s="49">
        <f t="shared" si="0"/>
        <v>395</v>
      </c>
      <c r="G106" s="4"/>
      <c r="H106" s="4"/>
    </row>
    <row r="107" spans="1:8">
      <c r="A107" s="52" t="s">
        <v>117</v>
      </c>
      <c r="B107" s="53"/>
      <c r="C107" s="28"/>
      <c r="D107" s="26">
        <v>695</v>
      </c>
      <c r="E107" s="13">
        <v>1</v>
      </c>
      <c r="F107" s="49">
        <f t="shared" ref="F107:F122" si="15">SUM(D107*E107)</f>
        <v>695</v>
      </c>
      <c r="G107" s="4"/>
      <c r="H107" s="4"/>
    </row>
    <row r="108" spans="1:8">
      <c r="A108" s="27" t="s">
        <v>118</v>
      </c>
      <c r="B108" s="28" t="s">
        <v>119</v>
      </c>
      <c r="C108" s="28"/>
      <c r="D108" s="26">
        <v>395</v>
      </c>
      <c r="E108" s="13">
        <v>0</v>
      </c>
      <c r="F108" s="22">
        <f t="shared" si="15"/>
        <v>0</v>
      </c>
      <c r="G108" s="4"/>
      <c r="H108" s="4"/>
    </row>
    <row r="109" spans="1:8">
      <c r="A109" s="52" t="s">
        <v>120</v>
      </c>
      <c r="B109" s="53"/>
      <c r="C109" s="28"/>
      <c r="D109" s="26">
        <v>20</v>
      </c>
      <c r="E109" s="13">
        <v>0</v>
      </c>
      <c r="F109" s="22">
        <f t="shared" si="15"/>
        <v>0</v>
      </c>
      <c r="G109" s="4"/>
      <c r="H109" s="4"/>
    </row>
    <row r="110" spans="1:8">
      <c r="A110" s="52" t="s">
        <v>121</v>
      </c>
      <c r="B110" s="53"/>
      <c r="C110" s="28"/>
      <c r="D110" s="26">
        <v>20</v>
      </c>
      <c r="E110" s="13">
        <v>0</v>
      </c>
      <c r="F110" s="22">
        <f t="shared" si="15"/>
        <v>0</v>
      </c>
      <c r="G110" s="4"/>
      <c r="H110" s="4"/>
    </row>
    <row r="111" spans="1:8">
      <c r="A111" s="52" t="s">
        <v>118</v>
      </c>
      <c r="B111" s="62"/>
      <c r="C111" s="28" t="s">
        <v>122</v>
      </c>
      <c r="D111" s="26">
        <v>395</v>
      </c>
      <c r="E111" s="13">
        <v>1</v>
      </c>
      <c r="F111" s="49">
        <f t="shared" si="15"/>
        <v>395</v>
      </c>
      <c r="G111" s="4"/>
      <c r="H111" s="4"/>
    </row>
    <row r="112" spans="1:8">
      <c r="A112" s="54" t="s">
        <v>123</v>
      </c>
      <c r="B112" s="55"/>
      <c r="C112" s="56"/>
      <c r="D112" s="26"/>
      <c r="E112" s="13" t="str">
        <f>IF(SUM(E113:E116)&gt;0,1,"")</f>
        <v/>
      </c>
      <c r="F112" s="22"/>
      <c r="G112" s="4"/>
      <c r="H112" s="4"/>
    </row>
    <row r="113" spans="1:8">
      <c r="A113" s="52" t="s">
        <v>124</v>
      </c>
      <c r="B113" s="53"/>
      <c r="C113" s="28"/>
      <c r="D113" s="26">
        <v>395</v>
      </c>
      <c r="E113" s="13">
        <v>0</v>
      </c>
      <c r="F113" s="22">
        <f t="shared" si="15"/>
        <v>0</v>
      </c>
      <c r="G113" s="4"/>
      <c r="H113" s="4"/>
    </row>
    <row r="114" spans="1:8">
      <c r="A114" s="52" t="s">
        <v>125</v>
      </c>
      <c r="B114" s="53"/>
      <c r="C114" s="28"/>
      <c r="D114" s="26">
        <v>50</v>
      </c>
      <c r="E114" s="13">
        <v>0</v>
      </c>
      <c r="F114" s="22">
        <f t="shared" si="15"/>
        <v>0</v>
      </c>
      <c r="G114" s="4"/>
      <c r="H114" s="4"/>
    </row>
    <row r="115" spans="1:8">
      <c r="A115" s="52" t="s">
        <v>126</v>
      </c>
      <c r="B115" s="53"/>
      <c r="C115" s="28"/>
      <c r="D115" s="26">
        <v>395</v>
      </c>
      <c r="E115" s="13">
        <v>0</v>
      </c>
      <c r="F115" s="22">
        <f t="shared" si="15"/>
        <v>0</v>
      </c>
      <c r="G115" s="4"/>
      <c r="H115" s="4"/>
    </row>
    <row r="116" spans="1:8">
      <c r="A116" s="52" t="s">
        <v>127</v>
      </c>
      <c r="B116" s="62"/>
      <c r="C116" s="28"/>
      <c r="D116" s="26">
        <v>495</v>
      </c>
      <c r="E116" s="13">
        <v>0</v>
      </c>
      <c r="F116" s="22">
        <f t="shared" si="15"/>
        <v>0</v>
      </c>
      <c r="G116" s="4"/>
      <c r="H116" s="4"/>
    </row>
    <row r="117" spans="1:8">
      <c r="A117" s="54" t="s">
        <v>128</v>
      </c>
      <c r="B117" s="55"/>
      <c r="C117" s="56"/>
      <c r="D117" s="26" t="s">
        <v>6</v>
      </c>
      <c r="E117" s="13">
        <f>IF(SUM(E118:E122)&gt;0,1,"")</f>
        <v>1</v>
      </c>
      <c r="F117" s="49"/>
      <c r="G117" s="4"/>
      <c r="H117" s="4"/>
    </row>
    <row r="118" spans="1:8">
      <c r="A118" s="52" t="s">
        <v>129</v>
      </c>
      <c r="B118" s="53"/>
      <c r="C118" s="28"/>
      <c r="D118" s="26">
        <v>100</v>
      </c>
      <c r="E118" s="13">
        <v>0</v>
      </c>
      <c r="F118" s="22">
        <f t="shared" si="15"/>
        <v>0</v>
      </c>
      <c r="G118" s="4"/>
      <c r="H118" s="4"/>
    </row>
    <row r="119" spans="1:8">
      <c r="A119" s="52" t="s">
        <v>130</v>
      </c>
      <c r="B119" s="53"/>
      <c r="C119" s="28"/>
      <c r="D119" s="26">
        <v>495</v>
      </c>
      <c r="E119" s="13">
        <v>0</v>
      </c>
      <c r="F119" s="22">
        <f t="shared" si="15"/>
        <v>0</v>
      </c>
      <c r="G119" s="4"/>
      <c r="H119" s="4"/>
    </row>
    <row r="120" spans="1:8">
      <c r="A120" s="52" t="s">
        <v>131</v>
      </c>
      <c r="B120" s="53"/>
      <c r="C120" s="28"/>
      <c r="D120" s="26">
        <v>347.5</v>
      </c>
      <c r="E120" s="13">
        <v>1</v>
      </c>
      <c r="F120" s="49">
        <f t="shared" si="15"/>
        <v>347.5</v>
      </c>
      <c r="G120" s="4"/>
      <c r="H120" s="4"/>
    </row>
    <row r="121" spans="1:8">
      <c r="A121" s="52" t="s">
        <v>132</v>
      </c>
      <c r="B121" s="62"/>
      <c r="C121" s="28"/>
      <c r="D121" s="26">
        <v>50</v>
      </c>
      <c r="E121" s="13">
        <v>0</v>
      </c>
      <c r="F121" s="22">
        <f t="shared" si="15"/>
        <v>0</v>
      </c>
      <c r="G121" s="4"/>
      <c r="H121" s="4"/>
    </row>
    <row r="122" spans="1:8">
      <c r="A122" s="52"/>
      <c r="B122" s="62"/>
      <c r="C122" s="28"/>
      <c r="D122" s="26"/>
      <c r="E122" s="13">
        <v>0</v>
      </c>
      <c r="F122" s="22">
        <f t="shared" si="15"/>
        <v>0</v>
      </c>
      <c r="G122" s="4"/>
      <c r="H122" s="4"/>
    </row>
    <row r="123" spans="1:8">
      <c r="A123" s="54" t="s">
        <v>133</v>
      </c>
      <c r="B123" s="55"/>
      <c r="C123" s="56"/>
      <c r="D123" s="26"/>
      <c r="E123" s="13">
        <f>IF(SUM(E124:E126)&gt;0,1,"")</f>
        <v>1</v>
      </c>
      <c r="F123" s="49"/>
      <c r="G123" s="4"/>
      <c r="H123" s="4"/>
    </row>
    <row r="124" spans="1:8">
      <c r="A124" s="52" t="s">
        <v>134</v>
      </c>
      <c r="B124" s="53"/>
      <c r="C124" s="28"/>
      <c r="D124" s="26">
        <v>395</v>
      </c>
      <c r="E124" s="13">
        <v>0</v>
      </c>
      <c r="F124" s="22">
        <f t="shared" si="0"/>
        <v>0</v>
      </c>
      <c r="G124" s="4"/>
      <c r="H124" s="4"/>
    </row>
    <row r="125" spans="1:8">
      <c r="A125" s="52" t="s">
        <v>135</v>
      </c>
      <c r="B125" s="53"/>
      <c r="C125" s="28"/>
      <c r="D125" s="26">
        <v>-500</v>
      </c>
      <c r="E125" s="13">
        <v>1</v>
      </c>
      <c r="F125" s="49">
        <f t="shared" si="0"/>
        <v>-500</v>
      </c>
      <c r="G125" s="4"/>
      <c r="H125" s="4"/>
    </row>
    <row r="126" spans="1:8">
      <c r="A126" s="52" t="s">
        <v>136</v>
      </c>
      <c r="B126" s="53"/>
      <c r="C126" s="28"/>
      <c r="D126" s="26">
        <v>475</v>
      </c>
      <c r="E126" s="13">
        <v>1</v>
      </c>
      <c r="F126" s="49">
        <f t="shared" si="0"/>
        <v>475</v>
      </c>
      <c r="G126" s="4"/>
      <c r="H126" s="4"/>
    </row>
    <row r="127" spans="1:8">
      <c r="A127" s="54" t="s">
        <v>137</v>
      </c>
      <c r="B127" s="55"/>
      <c r="C127" s="56"/>
      <c r="D127" s="26"/>
      <c r="E127" s="13">
        <f>IF(SUM(E128:E134)&gt;0,1,"")</f>
        <v>1</v>
      </c>
      <c r="F127" s="49"/>
      <c r="G127" s="4"/>
      <c r="H127" s="4"/>
    </row>
    <row r="128" spans="1:8">
      <c r="A128" s="67" t="s">
        <v>138</v>
      </c>
      <c r="B128" s="73"/>
      <c r="C128" s="47" t="s">
        <v>139</v>
      </c>
      <c r="D128" s="26">
        <v>1295</v>
      </c>
      <c r="E128" s="13">
        <v>0</v>
      </c>
      <c r="F128" s="22">
        <f t="shared" ref="F128:F134" si="16">SUM(D128*E128)</f>
        <v>0</v>
      </c>
      <c r="G128" s="4"/>
      <c r="H128" s="4"/>
    </row>
    <row r="129" spans="1:8">
      <c r="A129" s="67" t="s">
        <v>138</v>
      </c>
      <c r="B129" s="73"/>
      <c r="C129" s="47" t="s">
        <v>140</v>
      </c>
      <c r="D129" s="26">
        <v>3000</v>
      </c>
      <c r="E129" s="13">
        <v>0</v>
      </c>
      <c r="F129" s="22">
        <f t="shared" si="16"/>
        <v>0</v>
      </c>
      <c r="G129" s="4"/>
      <c r="H129" s="4"/>
    </row>
    <row r="130" spans="1:8">
      <c r="A130" s="67" t="s">
        <v>141</v>
      </c>
      <c r="B130" s="73"/>
      <c r="C130" s="46"/>
      <c r="D130" s="26">
        <v>5495</v>
      </c>
      <c r="E130" s="13">
        <v>1</v>
      </c>
      <c r="F130" s="49">
        <v>5495</v>
      </c>
      <c r="G130" s="4"/>
      <c r="H130" s="4"/>
    </row>
    <row r="131" spans="1:8">
      <c r="A131" s="67" t="s">
        <v>142</v>
      </c>
      <c r="B131" s="73"/>
      <c r="C131" s="46"/>
      <c r="D131" s="26">
        <v>395</v>
      </c>
      <c r="E131" s="13">
        <v>1</v>
      </c>
      <c r="F131" s="49">
        <f t="shared" si="16"/>
        <v>395</v>
      </c>
      <c r="G131" s="4"/>
      <c r="H131" s="4"/>
    </row>
    <row r="132" spans="1:8">
      <c r="A132" s="67" t="s">
        <v>143</v>
      </c>
      <c r="B132" s="73"/>
      <c r="C132" s="46"/>
      <c r="D132" s="26">
        <v>30</v>
      </c>
      <c r="E132" s="13">
        <v>1</v>
      </c>
      <c r="F132" s="49">
        <f t="shared" ref="F132:F133" si="17">SUM(D132*E132)</f>
        <v>30</v>
      </c>
      <c r="G132" s="4"/>
      <c r="H132" s="4"/>
    </row>
    <row r="133" spans="1:8">
      <c r="A133" s="67" t="s">
        <v>6</v>
      </c>
      <c r="B133" s="73"/>
      <c r="C133" s="46"/>
      <c r="D133" s="26"/>
      <c r="E133" s="13">
        <v>0</v>
      </c>
      <c r="F133" s="22">
        <f t="shared" si="17"/>
        <v>0</v>
      </c>
      <c r="G133" s="4"/>
      <c r="H133" s="4"/>
    </row>
    <row r="134" spans="1:8">
      <c r="A134" s="67" t="s">
        <v>6</v>
      </c>
      <c r="B134" s="73"/>
      <c r="C134" s="46"/>
      <c r="D134" s="26"/>
      <c r="E134" s="13">
        <v>0</v>
      </c>
      <c r="F134" s="22">
        <f t="shared" si="16"/>
        <v>0</v>
      </c>
      <c r="G134" s="4"/>
      <c r="H134" s="4"/>
    </row>
    <row r="135" spans="1:8">
      <c r="A135" s="54" t="s">
        <v>144</v>
      </c>
      <c r="B135" s="55"/>
      <c r="C135" s="56"/>
      <c r="D135" s="26"/>
      <c r="E135" s="13" t="str">
        <f>IF(SUM(E136:E140)&gt;0,1,"")</f>
        <v/>
      </c>
      <c r="F135" s="22" t="s">
        <v>6</v>
      </c>
      <c r="G135" s="4"/>
      <c r="H135" s="4"/>
    </row>
    <row r="136" spans="1:8">
      <c r="A136" s="70" t="s">
        <v>145</v>
      </c>
      <c r="B136" s="71"/>
      <c r="C136" s="72"/>
      <c r="D136" s="26">
        <v>0</v>
      </c>
      <c r="E136" s="13">
        <v>0</v>
      </c>
      <c r="F136" s="22">
        <v>0</v>
      </c>
      <c r="G136" s="4"/>
      <c r="H136" s="4"/>
    </row>
    <row r="137" spans="1:8">
      <c r="A137" s="70"/>
      <c r="B137" s="71"/>
      <c r="C137" s="72"/>
      <c r="D137" s="26"/>
      <c r="E137" s="13">
        <v>0</v>
      </c>
      <c r="F137" s="22"/>
      <c r="G137" s="4"/>
      <c r="H137" s="4"/>
    </row>
    <row r="138" spans="1:8">
      <c r="A138" s="70"/>
      <c r="B138" s="71"/>
      <c r="C138" s="72"/>
      <c r="D138" s="26"/>
      <c r="E138" s="13">
        <v>0</v>
      </c>
      <c r="F138" s="22"/>
      <c r="G138" s="4"/>
      <c r="H138" s="4"/>
    </row>
    <row r="139" spans="1:8">
      <c r="A139" s="70"/>
      <c r="B139" s="71"/>
      <c r="C139" s="72"/>
      <c r="D139" s="26"/>
      <c r="E139" s="13">
        <v>0</v>
      </c>
      <c r="F139" s="22"/>
      <c r="G139" s="4"/>
      <c r="H139" s="4"/>
    </row>
    <row r="140" spans="1:8">
      <c r="A140" s="67" t="s">
        <v>6</v>
      </c>
      <c r="B140" s="68"/>
      <c r="C140" s="69"/>
      <c r="D140" s="26" t="s">
        <v>6</v>
      </c>
      <c r="E140" s="13">
        <v>0</v>
      </c>
      <c r="F140" s="29"/>
      <c r="G140" s="4"/>
      <c r="H140" s="4"/>
    </row>
    <row r="141" spans="1:8">
      <c r="A141" s="30" t="s">
        <v>6</v>
      </c>
      <c r="B141" s="30"/>
      <c r="C141" s="30"/>
      <c r="D141" s="9" t="s">
        <v>146</v>
      </c>
      <c r="E141" s="38">
        <v>1</v>
      </c>
      <c r="F141" s="31">
        <f>SUM(F15:F140)</f>
        <v>33301.5</v>
      </c>
      <c r="G141" s="4"/>
      <c r="H141" s="4"/>
    </row>
    <row r="142" spans="1:8" ht="14.45" customHeight="1">
      <c r="A142" s="7"/>
      <c r="B142" s="7"/>
      <c r="C142" s="7"/>
      <c r="D142" s="8"/>
      <c r="E142" s="13"/>
      <c r="F142" s="13"/>
    </row>
    <row r="143" spans="1:8" ht="14.45" customHeight="1">
      <c r="A143" s="74" t="s">
        <v>147</v>
      </c>
      <c r="B143" s="74"/>
      <c r="C143" s="74"/>
      <c r="D143" s="19"/>
      <c r="E143" s="13">
        <f>IF(SUM(E144:E155)&gt;0,1,"")</f>
        <v>1</v>
      </c>
      <c r="F143" s="13"/>
    </row>
    <row r="144" spans="1:8" ht="14.45" customHeight="1">
      <c r="A144" s="50" t="s">
        <v>148</v>
      </c>
      <c r="B144" s="63"/>
      <c r="C144" s="20"/>
      <c r="D144" s="21">
        <v>5000</v>
      </c>
      <c r="E144" s="13">
        <v>0</v>
      </c>
      <c r="F144" s="22">
        <f t="shared" ref="F144:F158" si="18">SUM(D144*E144)</f>
        <v>0</v>
      </c>
    </row>
    <row r="145" spans="1:6">
      <c r="A145" s="50" t="s">
        <v>149</v>
      </c>
      <c r="B145" s="63"/>
      <c r="C145" s="32"/>
      <c r="D145" s="21">
        <v>325</v>
      </c>
      <c r="E145" s="13">
        <v>0</v>
      </c>
      <c r="F145" s="22">
        <f t="shared" si="18"/>
        <v>0</v>
      </c>
    </row>
    <row r="146" spans="1:6">
      <c r="A146" s="50" t="s">
        <v>150</v>
      </c>
      <c r="B146" s="63"/>
      <c r="C146" s="32"/>
      <c r="D146" s="21"/>
      <c r="E146" s="13">
        <v>0</v>
      </c>
      <c r="F146" s="22">
        <f t="shared" si="18"/>
        <v>0</v>
      </c>
    </row>
    <row r="147" spans="1:6" ht="14.45" customHeight="1">
      <c r="A147" s="50" t="s">
        <v>151</v>
      </c>
      <c r="B147" s="63"/>
      <c r="C147" s="32"/>
      <c r="D147" s="21">
        <v>350</v>
      </c>
      <c r="E147" s="13">
        <v>1</v>
      </c>
      <c r="F147" s="22">
        <f t="shared" si="18"/>
        <v>350</v>
      </c>
    </row>
    <row r="148" spans="1:6" ht="14.45" customHeight="1">
      <c r="A148" s="50" t="s">
        <v>152</v>
      </c>
      <c r="B148" s="63"/>
      <c r="C148" s="32"/>
      <c r="D148" s="21">
        <v>2000</v>
      </c>
      <c r="E148" s="13">
        <v>1</v>
      </c>
      <c r="F148" s="22">
        <f t="shared" si="18"/>
        <v>2000</v>
      </c>
    </row>
    <row r="149" spans="1:6" ht="14.45" customHeight="1">
      <c r="A149" s="50" t="s">
        <v>153</v>
      </c>
      <c r="B149" s="63"/>
      <c r="C149" s="32"/>
      <c r="D149" s="21">
        <v>400</v>
      </c>
      <c r="E149" s="13">
        <v>1</v>
      </c>
      <c r="F149" s="22">
        <f t="shared" si="18"/>
        <v>400</v>
      </c>
    </row>
    <row r="150" spans="1:6" ht="14.45" customHeight="1">
      <c r="A150" s="50" t="s">
        <v>154</v>
      </c>
      <c r="B150" s="63"/>
      <c r="C150" s="32"/>
      <c r="D150" s="21">
        <v>0</v>
      </c>
      <c r="E150" s="13">
        <v>1</v>
      </c>
      <c r="F150" s="22">
        <f t="shared" si="18"/>
        <v>0</v>
      </c>
    </row>
    <row r="151" spans="1:6">
      <c r="A151" s="50" t="s">
        <v>155</v>
      </c>
      <c r="B151" s="63"/>
      <c r="C151" s="20"/>
      <c r="D151" s="21">
        <v>1200</v>
      </c>
      <c r="E151" s="13">
        <v>0</v>
      </c>
      <c r="F151" s="22">
        <f t="shared" si="18"/>
        <v>0</v>
      </c>
    </row>
    <row r="152" spans="1:6" ht="14.45" customHeight="1">
      <c r="A152" s="50" t="s">
        <v>156</v>
      </c>
      <c r="B152" s="63"/>
      <c r="C152" s="20"/>
      <c r="D152" s="21">
        <v>499</v>
      </c>
      <c r="E152" s="13">
        <v>0</v>
      </c>
      <c r="F152" s="22">
        <f t="shared" si="18"/>
        <v>0</v>
      </c>
    </row>
    <row r="153" spans="1:6" ht="14.45" customHeight="1">
      <c r="A153" s="52" t="s">
        <v>157</v>
      </c>
      <c r="B153" s="53"/>
      <c r="C153" s="20"/>
      <c r="D153" s="21">
        <v>0</v>
      </c>
      <c r="E153" s="13">
        <v>0</v>
      </c>
      <c r="F153" s="22">
        <f t="shared" si="18"/>
        <v>0</v>
      </c>
    </row>
    <row r="154" spans="1:6" ht="14.45" customHeight="1">
      <c r="A154" s="50" t="s">
        <v>158</v>
      </c>
      <c r="B154" s="63"/>
      <c r="C154" s="20"/>
      <c r="D154" s="21">
        <v>20</v>
      </c>
      <c r="E154" s="13">
        <v>0</v>
      </c>
      <c r="F154" s="22">
        <f t="shared" si="18"/>
        <v>0</v>
      </c>
    </row>
    <row r="155" spans="1:6" ht="14.45" customHeight="1">
      <c r="A155" s="50" t="s">
        <v>159</v>
      </c>
      <c r="B155" s="63"/>
      <c r="C155" s="20"/>
      <c r="D155" s="21">
        <v>325</v>
      </c>
      <c r="E155" s="13">
        <v>0</v>
      </c>
      <c r="F155" s="22">
        <f t="shared" si="18"/>
        <v>0</v>
      </c>
    </row>
    <row r="156" spans="1:6" ht="14.45" customHeight="1">
      <c r="A156" s="50" t="s">
        <v>6</v>
      </c>
      <c r="B156" s="66"/>
      <c r="C156" s="32"/>
      <c r="D156" s="21"/>
      <c r="E156" s="13">
        <v>0</v>
      </c>
      <c r="F156" s="22"/>
    </row>
    <row r="157" spans="1:6" ht="14.45" customHeight="1">
      <c r="A157" s="58" t="s">
        <v>160</v>
      </c>
      <c r="B157" s="59"/>
      <c r="C157" s="60"/>
      <c r="D157" s="21"/>
      <c r="E157" s="13" t="str">
        <f>IF(SUM(E158:E158)&gt;0,1,"")</f>
        <v/>
      </c>
      <c r="F157" s="22"/>
    </row>
    <row r="158" spans="1:6" ht="14.45" customHeight="1">
      <c r="A158" s="50" t="s">
        <v>161</v>
      </c>
      <c r="B158" s="63"/>
      <c r="C158" s="20"/>
      <c r="D158" s="21">
        <v>0</v>
      </c>
      <c r="E158" s="13">
        <v>0</v>
      </c>
      <c r="F158" s="22">
        <f t="shared" si="18"/>
        <v>0</v>
      </c>
    </row>
    <row r="159" spans="1:6">
      <c r="A159" s="30" t="s">
        <v>6</v>
      </c>
      <c r="B159" s="30"/>
      <c r="C159" s="30"/>
      <c r="D159" s="10" t="s">
        <v>162</v>
      </c>
      <c r="E159" s="13">
        <v>1</v>
      </c>
      <c r="F159" s="33">
        <f>SUM(F144:F158)</f>
        <v>2750</v>
      </c>
    </row>
    <row r="160" spans="1:6" ht="9.75" customHeight="1">
      <c r="A160" s="30"/>
      <c r="B160" s="30"/>
      <c r="C160" s="30"/>
      <c r="D160" s="10"/>
      <c r="E160" s="13"/>
      <c r="F160" s="35"/>
    </row>
    <row r="161" spans="1:6">
      <c r="A161" s="75" t="s">
        <v>163</v>
      </c>
      <c r="B161" s="75"/>
      <c r="C161" s="75"/>
      <c r="D161" s="10" t="s">
        <v>164</v>
      </c>
      <c r="E161" s="13">
        <v>1</v>
      </c>
      <c r="F161" s="35">
        <f>SUM(F141+F159)</f>
        <v>36051.5</v>
      </c>
    </row>
    <row r="162" spans="1:6">
      <c r="A162" s="7"/>
      <c r="B162" s="7"/>
      <c r="C162" s="7"/>
      <c r="D162" s="10" t="s">
        <v>25</v>
      </c>
      <c r="E162" s="13">
        <v>1</v>
      </c>
      <c r="F162" s="34">
        <v>1</v>
      </c>
    </row>
    <row r="163" spans="1:6">
      <c r="A163" s="18" t="s">
        <v>6</v>
      </c>
      <c r="B163" s="18"/>
      <c r="C163" s="18"/>
      <c r="D163" s="11" t="s">
        <v>164</v>
      </c>
      <c r="E163" s="13">
        <v>1</v>
      </c>
      <c r="F163" s="35">
        <f>SUM(F161*F162)</f>
        <v>36051.5</v>
      </c>
    </row>
    <row r="164" spans="1:6" ht="14.45" customHeight="1">
      <c r="E164" s="2"/>
    </row>
    <row r="165" spans="1:6">
      <c r="A165" s="3" t="s">
        <v>6</v>
      </c>
      <c r="D165" s="6" t="s">
        <v>6</v>
      </c>
    </row>
  </sheetData>
  <protectedRanges>
    <protectedRange sqref="B2:B9 D2:D7 E9 E28:E34 E36:E38 E40 E42:E45 E47:E53 E55:E65 E67 E80:E88 E90:E92 E94:E97 E99:E104 E106:E111 E113:E116 E118:E122 E124:E126 E128:E134 E136:E140 A136:C140 E69:E78 A128:C134 E158 E15:E26 E144:E156" name="Range1"/>
  </protectedRanges>
  <autoFilter ref="E14:E163" xr:uid="{00000000-0001-0000-0000-000000000000}"/>
  <mergeCells count="145">
    <mergeCell ref="A161:C161"/>
    <mergeCell ref="A155:B155"/>
    <mergeCell ref="A158:B158"/>
    <mergeCell ref="A111:B111"/>
    <mergeCell ref="A122:B122"/>
    <mergeCell ref="A78:B78"/>
    <mergeCell ref="A144:B144"/>
    <mergeCell ref="A151:B151"/>
    <mergeCell ref="A106:B106"/>
    <mergeCell ref="A87:B87"/>
    <mergeCell ref="A83:B83"/>
    <mergeCell ref="A90:B90"/>
    <mergeCell ref="A91:B91"/>
    <mergeCell ref="A85:B85"/>
    <mergeCell ref="A86:B86"/>
    <mergeCell ref="A79:C79"/>
    <mergeCell ref="A124:B124"/>
    <mergeCell ref="A103:B103"/>
    <mergeCell ref="A146:B146"/>
    <mergeCell ref="A152:B152"/>
    <mergeCell ref="A154:B154"/>
    <mergeCell ref="A153:B153"/>
    <mergeCell ref="A147:B147"/>
    <mergeCell ref="A157:C157"/>
    <mergeCell ref="A119:B119"/>
    <mergeCell ref="A135:C135"/>
    <mergeCell ref="A143:C143"/>
    <mergeCell ref="A136:C136"/>
    <mergeCell ref="A137:C137"/>
    <mergeCell ref="A126:B126"/>
    <mergeCell ref="A118:B118"/>
    <mergeCell ref="A138:C138"/>
    <mergeCell ref="A125:B125"/>
    <mergeCell ref="A123:C123"/>
    <mergeCell ref="A156:B156"/>
    <mergeCell ref="A140:C140"/>
    <mergeCell ref="A127:C127"/>
    <mergeCell ref="A139:C139"/>
    <mergeCell ref="A130:B130"/>
    <mergeCell ref="A131:B131"/>
    <mergeCell ref="A132:B132"/>
    <mergeCell ref="A133:B133"/>
    <mergeCell ref="A134:B134"/>
    <mergeCell ref="A129:B129"/>
    <mergeCell ref="A128:B128"/>
    <mergeCell ref="A145:B145"/>
    <mergeCell ref="A148:B148"/>
    <mergeCell ref="A149:B149"/>
    <mergeCell ref="A150:B150"/>
    <mergeCell ref="A1:D1"/>
    <mergeCell ref="A25:B25"/>
    <mergeCell ref="A42:B42"/>
    <mergeCell ref="A44:B44"/>
    <mergeCell ref="A77:B77"/>
    <mergeCell ref="A10:B10"/>
    <mergeCell ref="A57:B57"/>
    <mergeCell ref="A58:B58"/>
    <mergeCell ref="A62:B62"/>
    <mergeCell ref="A67:B67"/>
    <mergeCell ref="A60:B60"/>
    <mergeCell ref="A35:C35"/>
    <mergeCell ref="A39:C39"/>
    <mergeCell ref="A41:C41"/>
    <mergeCell ref="A46:C46"/>
    <mergeCell ref="A54:C54"/>
    <mergeCell ref="A72:B72"/>
    <mergeCell ref="A52:B52"/>
    <mergeCell ref="A66:C66"/>
    <mergeCell ref="A71:B71"/>
    <mergeCell ref="A76:B76"/>
    <mergeCell ref="A55:B55"/>
    <mergeCell ref="A56:B56"/>
    <mergeCell ref="A59:B59"/>
    <mergeCell ref="A18:B18"/>
    <mergeCell ref="A19:B19"/>
    <mergeCell ref="A20:B20"/>
    <mergeCell ref="A26:B26"/>
    <mergeCell ref="A34:B34"/>
    <mergeCell ref="A38:B38"/>
    <mergeCell ref="A120:B120"/>
    <mergeCell ref="A15:B15"/>
    <mergeCell ref="A36:B36"/>
    <mergeCell ref="A50:B50"/>
    <mergeCell ref="A61:B61"/>
    <mergeCell ref="A89:C89"/>
    <mergeCell ref="A110:B110"/>
    <mergeCell ref="A16:B16"/>
    <mergeCell ref="A17:B17"/>
    <mergeCell ref="A48:B48"/>
    <mergeCell ref="A33:B33"/>
    <mergeCell ref="A28:B28"/>
    <mergeCell ref="A32:B32"/>
    <mergeCell ref="A97:B97"/>
    <mergeCell ref="A64:B64"/>
    <mergeCell ref="A107:B107"/>
    <mergeCell ref="A94:B94"/>
    <mergeCell ref="A45:B45"/>
    <mergeCell ref="A14:C14"/>
    <mergeCell ref="A27:C27"/>
    <mergeCell ref="A63:B63"/>
    <mergeCell ref="A43:B43"/>
    <mergeCell ref="A37:B37"/>
    <mergeCell ref="A51:B51"/>
    <mergeCell ref="A95:B95"/>
    <mergeCell ref="A121:B121"/>
    <mergeCell ref="A93:C93"/>
    <mergeCell ref="A116:B116"/>
    <mergeCell ref="A112:C112"/>
    <mergeCell ref="A88:B88"/>
    <mergeCell ref="A80:B80"/>
    <mergeCell ref="A81:B81"/>
    <mergeCell ref="A84:B84"/>
    <mergeCell ref="A69:B69"/>
    <mergeCell ref="A70:B70"/>
    <mergeCell ref="A92:B92"/>
    <mergeCell ref="A104:B104"/>
    <mergeCell ref="A65:B65"/>
    <mergeCell ref="A24:B24"/>
    <mergeCell ref="A29:B29"/>
    <mergeCell ref="A82:B82"/>
    <mergeCell ref="A105:C105"/>
    <mergeCell ref="A117:C117"/>
    <mergeCell ref="A53:B53"/>
    <mergeCell ref="A99:B99"/>
    <mergeCell ref="A100:B100"/>
    <mergeCell ref="A102:B102"/>
    <mergeCell ref="A96:B96"/>
    <mergeCell ref="A47:B47"/>
    <mergeCell ref="A98:C98"/>
    <mergeCell ref="A49:B49"/>
    <mergeCell ref="A101:B101"/>
    <mergeCell ref="A113:B113"/>
    <mergeCell ref="A114:B114"/>
    <mergeCell ref="A115:B115"/>
    <mergeCell ref="A109:B109"/>
    <mergeCell ref="A21:B21"/>
    <mergeCell ref="A22:B22"/>
    <mergeCell ref="A73:B73"/>
    <mergeCell ref="A74:B74"/>
    <mergeCell ref="A75:B75"/>
    <mergeCell ref="A68:C68"/>
    <mergeCell ref="A30:B30"/>
    <mergeCell ref="A31:B31"/>
    <mergeCell ref="A40:B40"/>
    <mergeCell ref="A23:B23"/>
  </mergeCells>
  <hyperlinks>
    <hyperlink ref="B7" r:id="rId1" xr:uid="{F624281B-4E28-4692-BF16-7482CBD0486C}"/>
  </hyperlinks>
  <pageMargins left="0.25" right="0.25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92F3E509ED34088A02A5127C1888C" ma:contentTypeVersion="15" ma:contentTypeDescription="Create a new document." ma:contentTypeScope="" ma:versionID="529da9fcb7c46eb306ddf69a0d4a087d">
  <xsd:schema xmlns:xsd="http://www.w3.org/2001/XMLSchema" xmlns:xs="http://www.w3.org/2001/XMLSchema" xmlns:p="http://schemas.microsoft.com/office/2006/metadata/properties" xmlns:ns2="9c77bd95-449b-4e16-87c3-3b2810db89cc" xmlns:ns3="9a601a31-97d5-45be-bed1-cea90de9d294" targetNamespace="http://schemas.microsoft.com/office/2006/metadata/properties" ma:root="true" ma:fieldsID="2b00f1fde99414e018385659168aff70" ns2:_="" ns3:_="">
    <xsd:import namespace="9c77bd95-449b-4e16-87c3-3b2810db89cc"/>
    <xsd:import namespace="9a601a31-97d5-45be-bed1-cea90de9d29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7bd95-449b-4e16-87c3-3b2810db89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428f2bc-ccf6-4814-8dbf-83fc6b6f02ea}" ma:internalName="TaxCatchAll" ma:showField="CatchAllData" ma:web="9c77bd95-449b-4e16-87c3-3b2810db8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01a31-97d5-45be-bed1-cea90de9d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ad914b-72c7-42ef-91b1-0e4eb0195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601a31-97d5-45be-bed1-cea90de9d294">
      <Terms xmlns="http://schemas.microsoft.com/office/infopath/2007/PartnerControls"/>
    </lcf76f155ced4ddcb4097134ff3c332f>
    <TaxCatchAll xmlns="9c77bd95-449b-4e16-87c3-3b2810db89cc" xsi:nil="true"/>
  </documentManagement>
</p:properties>
</file>

<file path=customXml/itemProps1.xml><?xml version="1.0" encoding="utf-8"?>
<ds:datastoreItem xmlns:ds="http://schemas.openxmlformats.org/officeDocument/2006/customXml" ds:itemID="{8C0A67C4-576D-4E65-A78E-5DB06D982912}"/>
</file>

<file path=customXml/itemProps2.xml><?xml version="1.0" encoding="utf-8"?>
<ds:datastoreItem xmlns:ds="http://schemas.openxmlformats.org/officeDocument/2006/customXml" ds:itemID="{ABC4301F-4279-489B-B3BB-332E143860D2}"/>
</file>

<file path=customXml/itemProps3.xml><?xml version="1.0" encoding="utf-8"?>
<ds:datastoreItem xmlns:ds="http://schemas.openxmlformats.org/officeDocument/2006/customXml" ds:itemID="{02124823-7740-4BFF-86B6-44D82CBFE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Josh Whitt</cp:lastModifiedBy>
  <cp:revision/>
  <dcterms:created xsi:type="dcterms:W3CDTF">2020-10-12T18:15:20Z</dcterms:created>
  <dcterms:modified xsi:type="dcterms:W3CDTF">2025-11-04T00:17:12Z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0x01010080F92F3E509ED34088A02A5127C1888C</vt:lpwstr>
  </property>
  <property fmtid="{D5CDD505-2E9C-101B-9397-08002B2CF9AE}" pid="3" name="MediaServiceImageTags">
    <vt:lpwstr/>
  </property>
</Properties>
</file>