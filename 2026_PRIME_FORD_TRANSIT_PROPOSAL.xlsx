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adam\Desktop\New Proposal Templates\Primetime\"/>
    </mc:Choice>
  </mc:AlternateContent>
  <xr:revisionPtr revIDLastSave="50" documentId="13_ncr:1_{DD451C6A-8AD8-41A0-A565-EEC018B2EDAA}" xr6:coauthVersionLast="47" xr6:coauthVersionMax="47" xr10:uidLastSave="{C47AD44C-D053-4998-AD4E-69B62C86B855}"/>
  <bookViews>
    <workbookView xWindow="-108" yWindow="-108" windowWidth="23256" windowHeight="12576" xr2:uid="{00000000-000D-0000-FFFF-FFFF00000000}"/>
  </bookViews>
  <sheets>
    <sheet name="PROPOSAL" sheetId="1" r:id="rId1"/>
  </sheets>
  <definedNames>
    <definedName name="_xlnm._FilterDatabase" localSheetId="0" hidden="1">PROPOSAL!$H$40:$H$178</definedName>
    <definedName name="_xlnm.Print_Area" localSheetId="0">PROPOSAL!$A$1:$J$298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8" i="1" l="1"/>
  <c r="J198" i="1" l="1"/>
  <c r="I190" i="1"/>
  <c r="I196" i="1" s="1"/>
  <c r="I200" i="1" s="1"/>
  <c r="G43" i="1"/>
  <c r="J182" i="1" l="1"/>
  <c r="J196" i="1" s="1"/>
</calcChain>
</file>

<file path=xl/sharedStrings.xml><?xml version="1.0" encoding="utf-8"?>
<sst xmlns="http://schemas.openxmlformats.org/spreadsheetml/2006/main" count="407" uniqueCount="218">
  <si>
    <t>Customer</t>
  </si>
  <si>
    <t>Delivery Address</t>
  </si>
  <si>
    <t>Contact</t>
  </si>
  <si>
    <t>contact name</t>
  </si>
  <si>
    <t>contact phone #</t>
  </si>
  <si>
    <t>contact email</t>
  </si>
  <si>
    <t>Vehicle / Contact Information</t>
  </si>
  <si>
    <t>Model Year:</t>
  </si>
  <si>
    <t>Agreement #:</t>
  </si>
  <si>
    <t>Vin #:</t>
  </si>
  <si>
    <t>Delivery Time:</t>
  </si>
  <si>
    <t>Graphic:</t>
  </si>
  <si>
    <t>Representative:</t>
  </si>
  <si>
    <t>Seat Material:</t>
  </si>
  <si>
    <t>Vinyl</t>
  </si>
  <si>
    <t>Phone/Email:</t>
  </si>
  <si>
    <t>Prime-Time SV Mobility Vans</t>
  </si>
  <si>
    <t>MASTERS OF VAN CONVERSIONS</t>
  </si>
  <si>
    <r>
      <rPr>
        <u/>
        <sz val="28"/>
        <rFont val="Times  "/>
      </rPr>
      <t xml:space="preserve">ADA - FULL COMPLIANCE
</t>
    </r>
    <r>
      <rPr>
        <sz val="18"/>
        <rFont val="Times  "/>
      </rPr>
      <t xml:space="preserve"> American with Disabilities Act</t>
    </r>
  </si>
  <si>
    <r>
      <t xml:space="preserve">FMVSS - FULL COMPLIANCE
</t>
    </r>
    <r>
      <rPr>
        <sz val="18"/>
        <rFont val="Times  "/>
      </rPr>
      <t>Federal Motor Vehicle Safety Standards</t>
    </r>
  </si>
  <si>
    <r>
      <t xml:space="preserve">FORD QVM - FULL COMPLIANCE
</t>
    </r>
    <r>
      <rPr>
        <sz val="18"/>
        <rFont val="Times  "/>
      </rPr>
      <t>Qualified Vehicle Modifier program</t>
    </r>
  </si>
  <si>
    <t>STANDARD CHASSIS EQUIPMENT AND FEATURES</t>
  </si>
  <si>
    <t>3.5L PFDI V6 Gasoline Engine</t>
  </si>
  <si>
    <t>Safety Canopy® Passenger Curtain Airbag System</t>
  </si>
  <si>
    <t>10 Speed Electronic Automatic Transmission</t>
  </si>
  <si>
    <t>Securilok® Anti-Theft System</t>
  </si>
  <si>
    <t>Transmission Oil Cooler</t>
  </si>
  <si>
    <t>Ford Co-Pilot 360 - Side Wind Stabilization, Post Collision Braking</t>
  </si>
  <si>
    <t>Front and Rear Disc Brakes with Full ABS</t>
  </si>
  <si>
    <t>Ford Co-Pilot 360 - Anti-Roll Bar Mitigation</t>
  </si>
  <si>
    <t>235/65R16 All Season Tires</t>
  </si>
  <si>
    <t>Three (3) USB Charging Ports in Passenger Area</t>
  </si>
  <si>
    <t>Single 70AH Battery</t>
  </si>
  <si>
    <t>AdvanceTrac with RSC</t>
  </si>
  <si>
    <t>Heavy Duty Alternator 250 AMP</t>
  </si>
  <si>
    <t>Rear Window Defroster</t>
  </si>
  <si>
    <t>Power Windows and Door Locks</t>
  </si>
  <si>
    <t>Cruise Control</t>
  </si>
  <si>
    <t>Electronic Stability Control</t>
  </si>
  <si>
    <t>Lane-Keeping System &amp; Forward Collision Warning</t>
  </si>
  <si>
    <t>Auto-High Beam Headlamps</t>
  </si>
  <si>
    <t>12" Center Dislay (SYNC4)</t>
  </si>
  <si>
    <t>2-Way Manual Driver Seat</t>
  </si>
  <si>
    <t>Rear Recovery Tow Hook</t>
  </si>
  <si>
    <t xml:space="preserve"> </t>
  </si>
  <si>
    <t>PRIME-TIME SPECIALTY VANS</t>
  </si>
  <si>
    <t>Code</t>
  </si>
  <si>
    <t>Qty</t>
  </si>
  <si>
    <t>Extend</t>
  </si>
  <si>
    <t xml:space="preserve">                                                                      MODEL</t>
  </si>
  <si>
    <t>Ford Transit 136" Mid Roof Mobility Passenger Van</t>
  </si>
  <si>
    <t>Included</t>
  </si>
  <si>
    <t>Ford Transit 148" Mid Roof Mobility Passenger Van</t>
  </si>
  <si>
    <t>ST</t>
  </si>
  <si>
    <t>Ford Transit 148" Extended Length High Roof Mobility Passenger Van</t>
  </si>
  <si>
    <t>SPECIAL BUILD ITEMS / INSTRUCTIONS</t>
  </si>
  <si>
    <t>SIDEWALL / REARWALL / CEILING</t>
  </si>
  <si>
    <t>Ford OEM Cloth Interior</t>
  </si>
  <si>
    <t>05</t>
  </si>
  <si>
    <t>STD</t>
  </si>
  <si>
    <t>PSV Fully Insulated Walls and Ceiling</t>
  </si>
  <si>
    <t>PSV ABS Interior with Insulated Walls and Ceiling</t>
  </si>
  <si>
    <t>Custom Interior Package</t>
  </si>
  <si>
    <t>VAN FLOORING</t>
  </si>
  <si>
    <t>Altro Anti-Slip Flooring</t>
  </si>
  <si>
    <t>3/4" Exterior Grade Plywood SubFloor</t>
  </si>
  <si>
    <t>Gerflor Anti-Slip Flooring</t>
  </si>
  <si>
    <t>Altro Wood Safety Anti-Slip Flooring</t>
  </si>
  <si>
    <t>ALFO Smart Floor Aluminum Flooring/Seating System</t>
  </si>
  <si>
    <t>EXTERIOR GRAPHICS AND PAINT</t>
  </si>
  <si>
    <t>Full Body Exterior Paint</t>
  </si>
  <si>
    <t>Custom Graphic Package</t>
  </si>
  <si>
    <t>TRANSIT VAN CHASSIS</t>
  </si>
  <si>
    <t>Rear Wheel Drive Vehicle</t>
  </si>
  <si>
    <t>Ford Co-Pilot 360 - Anti-Roll and Side Wind Stabilization</t>
  </si>
  <si>
    <t>Electronic Stability Control - Lane Keeping System</t>
  </si>
  <si>
    <t>Pre-Collision Assist with Automatic Emergency Braking (AEB)</t>
  </si>
  <si>
    <t>GPS Navigation</t>
  </si>
  <si>
    <t>Two (2) Keyless Remote Entry Fobs</t>
  </si>
  <si>
    <t>Remote and Heated Exterior Mirrors</t>
  </si>
  <si>
    <t xml:space="preserve">Heavy Duty Anti-Slip Running Board on Passenger Side </t>
  </si>
  <si>
    <t>Full Size Spare Tire and Wheel - Mounted</t>
  </si>
  <si>
    <t xml:space="preserve">Heavy Duty Anti-Slip Running Board on Driver Side </t>
  </si>
  <si>
    <t>ENVIRONMENTAL CONTROL</t>
  </si>
  <si>
    <t>Ford OEM Front and Rear Air-Conditioning</t>
  </si>
  <si>
    <t>Ford Auxiliary Air-Conditioning System Upgrade - 32,000 btu System</t>
  </si>
  <si>
    <t>REAR (AUXILIARY) HEATING</t>
  </si>
  <si>
    <r>
      <t xml:space="preserve">Ford OEM Front Mount Floor Heater </t>
    </r>
    <r>
      <rPr>
        <sz val="22"/>
        <rFont val="Times  "/>
      </rPr>
      <t>(OEM heat is routed through proprietary Prime-Time SV ducting to increase heating efficiency in the van)</t>
    </r>
  </si>
  <si>
    <t>ELECTRICAL ADDITIONS</t>
  </si>
  <si>
    <t>Dual USB Charging Ports mounted in Passenger Area</t>
  </si>
  <si>
    <t>DESTINATION SIGNS &amp; WINDOWS</t>
  </si>
  <si>
    <t>Custom Molded Fiberglass Destination Sign Front View Window Only - no electronic sign</t>
  </si>
  <si>
    <t>Custom Molded Fiberglass Destination Sign Front w/ Electronic Destination Sign</t>
  </si>
  <si>
    <t>EXTERIOR LIGHTS</t>
  </si>
  <si>
    <t>Rear Center Mount Brake Light</t>
  </si>
  <si>
    <t xml:space="preserve">Roof Mounted Strobe Light                                              </t>
  </si>
  <si>
    <t>INTERIOR LIGHTS</t>
  </si>
  <si>
    <t>Door Activated Interior Lights</t>
  </si>
  <si>
    <t xml:space="preserve">LED Overhead Interior Strip Lights </t>
  </si>
  <si>
    <t>AUDIO / VISUAL</t>
  </si>
  <si>
    <t>Ford Transit OEM 10.2" Display Media Center</t>
  </si>
  <si>
    <t>PA System with 2 Speakers (Independent of Radio)</t>
  </si>
  <si>
    <t>Ground Plane for Two-Way Radio</t>
  </si>
  <si>
    <t xml:space="preserve">External Speaker with On/Off Switch </t>
  </si>
  <si>
    <t>DOORS / WINDOWS / ROOF HATCHES</t>
  </si>
  <si>
    <t>OEM Passenger Sliding Entry Door</t>
  </si>
  <si>
    <t>Electric Bi-Fold Bus Passenger Entry Door upgrade</t>
  </si>
  <si>
    <t>Remote Entry Key Fob for Passenger Bi-Fold bus entry door</t>
  </si>
  <si>
    <t xml:space="preserve">A&amp;M Remote Entry Door Keypad  </t>
  </si>
  <si>
    <t>A&amp;M Wireless Remote Key Fob for Passenger Entry door operation</t>
  </si>
  <si>
    <t>Roof Hatch - Transpec</t>
  </si>
  <si>
    <t>LUGGAGE RACK &amp; STORAGE</t>
  </si>
  <si>
    <t>Interior Storage Rack</t>
  </si>
  <si>
    <t>Rear Storage Rack</t>
  </si>
  <si>
    <t>BRAUNABILITY WHEELCHAIR LIFTS</t>
  </si>
  <si>
    <t xml:space="preserve">Braun Century Series Wheelchair Lift - 800lb (33" x 51") </t>
  </si>
  <si>
    <t xml:space="preserve">Braun Century Series Wheelchair Lift - 800lb (34" x 51")     </t>
  </si>
  <si>
    <t xml:space="preserve">Braun Century Series Wheelchair Lift - 800lb (34" x 54") </t>
  </si>
  <si>
    <t>Braun Century Series Wheelchair Lift  - 1000lb (34" x 51")</t>
  </si>
  <si>
    <t xml:space="preserve">Braun Century Series Wheelchair Lift - 1000lb (34" x 54") </t>
  </si>
  <si>
    <t>Braun Millenium Series Wheelchair Lift - 800lb (33" x 51")</t>
  </si>
  <si>
    <t xml:space="preserve">Braun Millenium Series Wheelchair Lift - 800lb (34" x 51")   </t>
  </si>
  <si>
    <t xml:space="preserve">Braun Millenium Series Wheelchair Lift - 800lb (37" x 51") </t>
  </si>
  <si>
    <t>Vinyl Cover for Wheelchair Lift</t>
  </si>
  <si>
    <t>Seat Belt on Braun Lift - Installed</t>
  </si>
  <si>
    <t>WHEELCHAIR LIFT FAST IDLE WITH INTERLOCK</t>
  </si>
  <si>
    <t>ADA Fast Idle with Lift Interlock</t>
  </si>
  <si>
    <t>Q-STRAINT WHEELCHAIR SECUREMENTS &amp; ACCESSORIES</t>
  </si>
  <si>
    <t>Q-Straint Slide-N-Click Automatic Wheelchair Securements</t>
  </si>
  <si>
    <t>Q-Straint Automatic Wheelchair Securements (L-Track)</t>
  </si>
  <si>
    <t>QRT 360 Securements - L-Track - Combo-Lap/Shoulder</t>
  </si>
  <si>
    <t>QRT 360 Securements - Slide N Click - Combo-Lap/Shoulder</t>
  </si>
  <si>
    <t>Q-Straint ONE Wheelchair Securement System</t>
  </si>
  <si>
    <t>Full-Length L-Track mounted to Sidewall Above Window Line for Shoulder Securement Easy-Adjust</t>
  </si>
  <si>
    <t>WHEELCHAIR SECUREMENT STORAGE &amp; ACCESSORIES</t>
  </si>
  <si>
    <t>PSV Wheelchair Securement Storage box</t>
  </si>
  <si>
    <t>Q Straint Belt Storage Pouch</t>
  </si>
  <si>
    <t xml:space="preserve">Q-Straint Belt Cutter   </t>
  </si>
  <si>
    <t>Q-Straint 18" Blue Webbing Loops</t>
  </si>
  <si>
    <t xml:space="preserve">TDSS-L Track Wheelchair Securement Storage on Foldaways  </t>
  </si>
  <si>
    <t xml:space="preserve">TDSS-Slide N Click Wheelchair Securement Storage on Foldaways  </t>
  </si>
  <si>
    <t>Priority Seating Sign (required for ADA compliance)</t>
  </si>
  <si>
    <t xml:space="preserve">Wheelchair Decal (International Symbol of Accessibility)  </t>
  </si>
  <si>
    <t>SAFETY OPTIONS</t>
  </si>
  <si>
    <t>5 lb Fire Extinguisher</t>
  </si>
  <si>
    <t>16 Unit First Aid Kit</t>
  </si>
  <si>
    <t>Emergency Triangle Kit</t>
  </si>
  <si>
    <t>Back-Up Alarm</t>
  </si>
  <si>
    <t xml:space="preserve">Ford OEM Back-Up Camera System </t>
  </si>
  <si>
    <t>Fire Blanket</t>
  </si>
  <si>
    <t>Rosco Backup Warning System BSSK-1000 Surface Mount</t>
  </si>
  <si>
    <t>Red Light Over Emergency Exits</t>
  </si>
  <si>
    <t>"NO SMOKING" Sign</t>
  </si>
  <si>
    <t>"NO EATING" Sign</t>
  </si>
  <si>
    <t>Decal "Please Fasten your Seat Belt"</t>
  </si>
  <si>
    <t>Decal "Please Watch Your Step"</t>
  </si>
  <si>
    <t xml:space="preserve">Decal Vehicle Height Sticker </t>
  </si>
  <si>
    <t>GRAB RAILS / STANCHIONS / PANELS</t>
  </si>
  <si>
    <t xml:space="preserve">Stainless Steel Right Hand Entry Vertical Grab Rail </t>
  </si>
  <si>
    <t>Stainless Steel Left Hand Entry Vertical Grab Rail</t>
  </si>
  <si>
    <t>Stanchion and Modesty Panel Behind Driver w/ Plexiglas Protective Barrier</t>
  </si>
  <si>
    <t>Powder Coated Entry Grab Handles mounted to Bus Doors</t>
  </si>
  <si>
    <t>DRIVER &amp; CO-PILOT SEATING</t>
  </si>
  <si>
    <t>Ford OEM Driver's Seat</t>
  </si>
  <si>
    <t>Ford OEM Co-Pilot Seat</t>
  </si>
  <si>
    <r>
      <t xml:space="preserve">Remove Ford OEM Co-Pilot Seat - Install </t>
    </r>
    <r>
      <rPr>
        <b/>
        <u/>
        <sz val="26"/>
        <rFont val="Times"/>
      </rPr>
      <t>insert replacement here</t>
    </r>
  </si>
  <si>
    <t>Driver Seat Power Base</t>
  </si>
  <si>
    <t>PASSENGER SEATING</t>
  </si>
  <si>
    <t>High-Back Double Seat w/ Vinyl cover</t>
  </si>
  <si>
    <t>High-Back Single Seat w/ Vinyl cover</t>
  </si>
  <si>
    <t>Mid-High Double Foldaway Seat w/ Vinyl cover</t>
  </si>
  <si>
    <t>Mid-High Single Foldaway Seat w/ Vinyl cover</t>
  </si>
  <si>
    <t>Mid-High Double Seat w/ Vinyl cover</t>
  </si>
  <si>
    <t>Mid-High Single Seat w/ Vinyl cover</t>
  </si>
  <si>
    <t>SEATING OPTIONS</t>
  </si>
  <si>
    <t>Black Anti-Vandal Grab/Assist Handles on Seat Backs</t>
  </si>
  <si>
    <t>Yellow Anti-Vandal Grab/Assist Handles on Seat Backs</t>
  </si>
  <si>
    <t>Black Flip-Up Armrests on Aisle Seats</t>
  </si>
  <si>
    <t>Upholstered Flip-Up Armrests</t>
  </si>
  <si>
    <t xml:space="preserve">Child Restraint System per seat (CRS225 Clips) </t>
  </si>
  <si>
    <t>Reclining Passenger Seats (for Rigid/Fixed seats only)</t>
  </si>
  <si>
    <t>SEAT BELTS</t>
  </si>
  <si>
    <t>3-Point Lap and Shoulder Harness Seat Belts for All Passenger Seats</t>
  </si>
  <si>
    <t xml:space="preserve">Seat Belt Extension, 12"   </t>
  </si>
  <si>
    <t xml:space="preserve">USR Seat Belt Extension, 12"   </t>
  </si>
  <si>
    <t>ADDITIONAL ITEMS</t>
  </si>
  <si>
    <t>CAT Leash - Catalytic Converter Theft Deterrent Device - FORD</t>
  </si>
  <si>
    <t>TERMS AND CONDITIONS</t>
  </si>
  <si>
    <t>Vehicle Price:</t>
  </si>
  <si>
    <t xml:space="preserve">Terms:  </t>
  </si>
  <si>
    <t>Due Upon Receipt</t>
  </si>
  <si>
    <t>Mobility Rebate:</t>
  </si>
  <si>
    <t>Large Fleet Discount</t>
  </si>
  <si>
    <t/>
  </si>
  <si>
    <t xml:space="preserve">Deposit:  </t>
  </si>
  <si>
    <t>10% Down Payment Due at Signing</t>
  </si>
  <si>
    <t>Chassis Rebate:</t>
  </si>
  <si>
    <t>Accessibility Rebate:</t>
  </si>
  <si>
    <t xml:space="preserve">Quote Valid For: </t>
  </si>
  <si>
    <t>30 Days from Date</t>
  </si>
  <si>
    <t>Subtotal:</t>
  </si>
  <si>
    <t>This Agreement is Confidential and not Subject to Distribution</t>
  </si>
  <si>
    <t>Delivery:</t>
  </si>
  <si>
    <t>Sales Tax:</t>
  </si>
  <si>
    <t>Customer Signature</t>
  </si>
  <si>
    <t>Unit Total:</t>
  </si>
  <si>
    <t>Quantity:</t>
  </si>
  <si>
    <t>Printed Name</t>
  </si>
  <si>
    <t>Net Due:</t>
  </si>
  <si>
    <t>Date</t>
  </si>
  <si>
    <t>To Purchase this Vehicle, please sign this intent to purchase agreement.  By Signing this agreement the Signer understands they are entering a contract to purchase the product/service presented.  This vehicle will remain on the market until we receive this signed agreement with any applicable down payments/deposits included.</t>
  </si>
  <si>
    <t xml:space="preserve">     FloorPlan</t>
  </si>
  <si>
    <t>Customer Order Information</t>
  </si>
  <si>
    <t>Please fill in the information below when placing your order.  Information will be used for Delivery and Registration purposes.</t>
  </si>
  <si>
    <t>Customer Name to Read on Title:</t>
  </si>
  <si>
    <t>Customer Address to Read on Title:</t>
  </si>
  <si>
    <t>Federal Tax ID#:</t>
  </si>
  <si>
    <r>
      <t xml:space="preserve">Are you Tax-Exempted?  </t>
    </r>
    <r>
      <rPr>
        <b/>
        <sz val="20"/>
        <color theme="4" tint="-0.249977111117893"/>
        <rFont val="Times"/>
      </rPr>
      <t>Yes/No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</si>
</sst>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d\-mmm\-yy;@"/>
    <numFmt numFmtId="165" formatCode="&quot;$&quot;#,##0.00"/>
  </numFmts>
  <fonts count="5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6"/>
      <name val="Times  "/>
    </font>
    <font>
      <b/>
      <sz val="26"/>
      <name val="Times New Roman"/>
      <family val="1"/>
    </font>
    <font>
      <sz val="26"/>
      <name val="Times  "/>
    </font>
    <font>
      <sz val="26"/>
      <name val="Arial"/>
      <family val="2"/>
    </font>
    <font>
      <b/>
      <sz val="26"/>
      <name val="Arial"/>
      <family val="2"/>
    </font>
    <font>
      <sz val="16"/>
      <name val="Arial"/>
      <family val="2"/>
    </font>
    <font>
      <sz val="26"/>
      <name val="Times New Roman"/>
      <family val="1"/>
    </font>
    <font>
      <b/>
      <sz val="26"/>
      <color theme="0"/>
      <name val="Times  "/>
    </font>
    <font>
      <b/>
      <sz val="16"/>
      <name val="Arial"/>
      <family val="2"/>
    </font>
    <font>
      <sz val="16"/>
      <name val="Times  "/>
    </font>
    <font>
      <b/>
      <sz val="16"/>
      <name val="Times New Roman"/>
      <family val="1"/>
    </font>
    <font>
      <sz val="16"/>
      <name val="Times New Roman"/>
      <family val="1"/>
    </font>
    <font>
      <b/>
      <sz val="10"/>
      <name val="Arial"/>
      <family val="2"/>
    </font>
    <font>
      <sz val="26"/>
      <name val="Times"/>
    </font>
    <font>
      <sz val="26"/>
      <name val="Times "/>
    </font>
    <font>
      <sz val="26"/>
      <color indexed="55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22"/>
      <name val="Times  "/>
    </font>
    <font>
      <sz val="11"/>
      <color theme="1"/>
      <name val="Times New Roman"/>
      <family val="1"/>
    </font>
    <font>
      <u/>
      <sz val="28"/>
      <name val="Times  "/>
    </font>
    <font>
      <sz val="18"/>
      <name val="Times  "/>
    </font>
    <font>
      <sz val="28"/>
      <name val="Times  "/>
    </font>
    <font>
      <sz val="28"/>
      <name val="Arial"/>
      <family val="2"/>
    </font>
    <font>
      <sz val="22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26"/>
      <name val="Palatino Linotype"/>
      <family val="1"/>
    </font>
    <font>
      <sz val="26"/>
      <name val="Palatino Linotype"/>
      <family val="1"/>
    </font>
    <font>
      <b/>
      <sz val="24"/>
      <name val="Palatino Linotype"/>
      <family val="1"/>
    </font>
    <font>
      <sz val="24"/>
      <color theme="1"/>
      <name val="Palatino Linotype"/>
      <family val="1"/>
    </font>
    <font>
      <sz val="24"/>
      <name val="Times New Roman"/>
      <family val="1"/>
    </font>
    <font>
      <sz val="24"/>
      <name val="Palatino Linotype"/>
      <family val="1"/>
    </font>
    <font>
      <sz val="24"/>
      <name val="Times  "/>
    </font>
    <font>
      <sz val="24"/>
      <name val="Arial"/>
      <family val="2"/>
    </font>
    <font>
      <b/>
      <sz val="26"/>
      <name val="Garamond"/>
      <family val="1"/>
    </font>
    <font>
      <sz val="24"/>
      <name val="Times"/>
    </font>
    <font>
      <b/>
      <u/>
      <sz val="26"/>
      <name val="Times"/>
    </font>
    <font>
      <sz val="26"/>
      <name val="Garamond"/>
      <family val="1"/>
    </font>
    <font>
      <b/>
      <sz val="28"/>
      <name val="Garamond"/>
      <family val="1"/>
    </font>
    <font>
      <sz val="28"/>
      <name val="Garamond"/>
      <family val="1"/>
    </font>
    <font>
      <b/>
      <sz val="24"/>
      <name val="Garamond"/>
      <family val="1"/>
    </font>
    <font>
      <sz val="24"/>
      <name val="Garamond"/>
      <family val="1"/>
    </font>
    <font>
      <b/>
      <sz val="11"/>
      <color theme="1"/>
      <name val="Garamond"/>
      <family val="1"/>
    </font>
    <font>
      <sz val="6"/>
      <color rgb="FF4BB246"/>
      <name val="Calibri"/>
      <family val="2"/>
      <scheme val="minor"/>
    </font>
    <font>
      <sz val="6"/>
      <color rgb="FF4BB246"/>
      <name val="Times  "/>
    </font>
    <font>
      <sz val="6"/>
      <color theme="0" tint="-0.14999847407452621"/>
      <name val="Times  "/>
    </font>
    <font>
      <sz val="22"/>
      <name val="Times New Roman"/>
      <family val="1"/>
    </font>
    <font>
      <b/>
      <sz val="11"/>
      <color theme="1"/>
      <name val="Calibri"/>
      <family val="2"/>
      <scheme val="minor"/>
    </font>
    <font>
      <i/>
      <sz val="26"/>
      <name val="Times New Roman"/>
      <family val="1"/>
    </font>
    <font>
      <b/>
      <sz val="26"/>
      <color theme="0"/>
      <name val="Garamond"/>
      <family val="1"/>
    </font>
    <font>
      <sz val="26"/>
      <color theme="0"/>
      <name val="Garamond"/>
      <family val="1"/>
    </font>
    <font>
      <sz val="16"/>
      <color theme="1"/>
      <name val="Calibri"/>
      <family val="2"/>
      <scheme val="minor"/>
    </font>
    <font>
      <b/>
      <sz val="26"/>
      <name val="Times"/>
    </font>
    <font>
      <b/>
      <sz val="20"/>
      <color theme="4" tint="-0.249977111117893"/>
      <name val="Times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4BB246"/>
        </stop>
      </gradient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/>
        </stop>
        <stop position="1">
          <color rgb="FF4BB246"/>
        </stop>
      </gradientFill>
    </fill>
    <fill>
      <gradientFill>
        <stop position="0">
          <color theme="0"/>
        </stop>
        <stop position="0.5">
          <color rgb="FF4BB246"/>
        </stop>
        <stop position="1">
          <color theme="0"/>
        </stop>
      </gradient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344">
    <xf numFmtId="0" fontId="0" fillId="0" borderId="0" xfId="0"/>
    <xf numFmtId="0" fontId="7" fillId="0" borderId="0" xfId="2" applyFont="1"/>
    <xf numFmtId="0" fontId="1" fillId="0" borderId="0" xfId="2"/>
    <xf numFmtId="0" fontId="4" fillId="0" borderId="0" xfId="2" applyFont="1"/>
    <xf numFmtId="0" fontId="5" fillId="0" borderId="0" xfId="2" applyFont="1"/>
    <xf numFmtId="0" fontId="4" fillId="0" borderId="0" xfId="2" applyFont="1" applyAlignment="1">
      <alignment horizontal="center"/>
    </xf>
    <xf numFmtId="44" fontId="10" fillId="0" borderId="0" xfId="1" applyFont="1" applyAlignment="1" applyProtection="1">
      <alignment horizontal="center"/>
    </xf>
    <xf numFmtId="44" fontId="7" fillId="0" borderId="0" xfId="1" applyFont="1" applyBorder="1" applyProtection="1"/>
    <xf numFmtId="0" fontId="11" fillId="0" borderId="0" xfId="2" applyFont="1" applyAlignment="1">
      <alignment horizontal="left" vertical="center" wrapText="1"/>
    </xf>
    <xf numFmtId="0" fontId="4" fillId="0" borderId="19" xfId="2" applyFont="1" applyBorder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/>
      <protection locked="0" hidden="1"/>
    </xf>
    <xf numFmtId="42" fontId="4" fillId="0" borderId="20" xfId="1" applyNumberFormat="1" applyFont="1" applyFill="1" applyBorder="1" applyAlignment="1" applyProtection="1"/>
    <xf numFmtId="44" fontId="7" fillId="0" borderId="21" xfId="1" applyFont="1" applyBorder="1" applyProtection="1"/>
    <xf numFmtId="0" fontId="5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44" fontId="2" fillId="0" borderId="0" xfId="1" applyFont="1" applyFill="1" applyAlignment="1" applyProtection="1">
      <alignment horizontal="center"/>
    </xf>
    <xf numFmtId="44" fontId="12" fillId="0" borderId="0" xfId="1" applyFont="1" applyAlignment="1" applyProtection="1">
      <alignment horizontal="center"/>
    </xf>
    <xf numFmtId="0" fontId="4" fillId="0" borderId="0" xfId="1" applyNumberFormat="1" applyFont="1" applyBorder="1" applyAlignment="1" applyProtection="1">
      <alignment horizontal="center"/>
    </xf>
    <xf numFmtId="44" fontId="13" fillId="0" borderId="10" xfId="1" applyFont="1" applyBorder="1" applyProtection="1"/>
    <xf numFmtId="44" fontId="13" fillId="0" borderId="0" xfId="1" applyFont="1" applyBorder="1" applyProtection="1"/>
    <xf numFmtId="0" fontId="5" fillId="0" borderId="0" xfId="2" applyFont="1" applyAlignment="1">
      <alignment horizontal="left"/>
    </xf>
    <xf numFmtId="0" fontId="6" fillId="0" borderId="0" xfId="2" applyFont="1" applyAlignment="1">
      <alignment horizontal="center"/>
    </xf>
    <xf numFmtId="44" fontId="13" fillId="0" borderId="23" xfId="1" applyFont="1" applyBorder="1" applyProtection="1"/>
    <xf numFmtId="0" fontId="4" fillId="0" borderId="0" xfId="1" applyNumberFormat="1" applyFont="1" applyFill="1" applyBorder="1" applyAlignment="1" applyProtection="1">
      <alignment horizontal="center"/>
    </xf>
    <xf numFmtId="44" fontId="13" fillId="0" borderId="5" xfId="1" applyFont="1" applyBorder="1" applyProtection="1"/>
    <xf numFmtId="44" fontId="13" fillId="0" borderId="5" xfId="1" applyFont="1" applyBorder="1" applyAlignment="1" applyProtection="1">
      <alignment horizontal="center" vertical="center"/>
    </xf>
    <xf numFmtId="0" fontId="4" fillId="0" borderId="0" xfId="2" applyFont="1" applyAlignment="1" applyProtection="1">
      <alignment horizontal="center"/>
      <protection locked="0"/>
    </xf>
    <xf numFmtId="0" fontId="4" fillId="2" borderId="0" xfId="2" applyFont="1" applyFill="1" applyAlignment="1" applyProtection="1">
      <alignment horizontal="left"/>
      <protection locked="0"/>
    </xf>
    <xf numFmtId="0" fontId="4" fillId="0" borderId="0" xfId="2" applyFont="1" applyAlignment="1" applyProtection="1">
      <alignment horizontal="left"/>
      <protection locked="0"/>
    </xf>
    <xf numFmtId="0" fontId="5" fillId="0" borderId="0" xfId="2" applyFont="1" applyAlignment="1" applyProtection="1">
      <alignment horizontal="center"/>
      <protection hidden="1"/>
    </xf>
    <xf numFmtId="44" fontId="5" fillId="0" borderId="0" xfId="1" applyFont="1" applyFill="1" applyBorder="1" applyProtection="1"/>
    <xf numFmtId="0" fontId="6" fillId="0" borderId="0" xfId="2" applyFont="1" applyAlignment="1">
      <alignment horizontal="left"/>
    </xf>
    <xf numFmtId="44" fontId="13" fillId="0" borderId="0" xfId="1" applyFont="1" applyFill="1" applyBorder="1" applyProtection="1"/>
    <xf numFmtId="0" fontId="2" fillId="0" borderId="0" xfId="2" applyFont="1" applyAlignment="1">
      <alignment horizontal="right"/>
    </xf>
    <xf numFmtId="0" fontId="5" fillId="0" borderId="0" xfId="2" applyFont="1" applyAlignment="1">
      <alignment horizontal="right"/>
    </xf>
    <xf numFmtId="44" fontId="13" fillId="0" borderId="0" xfId="1" applyFont="1" applyFill="1" applyBorder="1" applyAlignment="1" applyProtection="1">
      <alignment horizontal="center"/>
    </xf>
    <xf numFmtId="0" fontId="16" fillId="0" borderId="0" xfId="2" applyFont="1"/>
    <xf numFmtId="165" fontId="4" fillId="0" borderId="0" xfId="1" applyNumberFormat="1" applyFont="1" applyFill="1" applyBorder="1" applyAlignment="1" applyProtection="1">
      <alignment horizontal="center"/>
    </xf>
    <xf numFmtId="0" fontId="8" fillId="0" borderId="0" xfId="2" applyFont="1"/>
    <xf numFmtId="1" fontId="17" fillId="0" borderId="0" xfId="2" applyNumberFormat="1" applyFont="1" applyAlignment="1" applyProtection="1">
      <alignment horizontal="left"/>
      <protection locked="0"/>
    </xf>
    <xf numFmtId="1" fontId="5" fillId="0" borderId="0" xfId="2" applyNumberFormat="1" applyFont="1" applyAlignment="1" applyProtection="1">
      <alignment horizontal="left"/>
      <protection locked="0"/>
    </xf>
    <xf numFmtId="0" fontId="5" fillId="0" borderId="0" xfId="2" applyFont="1" applyAlignment="1" applyProtection="1">
      <alignment horizontal="left"/>
      <protection locked="0"/>
    </xf>
    <xf numFmtId="0" fontId="2" fillId="0" borderId="0" xfId="2" applyFont="1" applyAlignment="1" applyProtection="1">
      <alignment horizontal="center"/>
      <protection locked="0"/>
    </xf>
    <xf numFmtId="0" fontId="4" fillId="0" borderId="0" xfId="2" applyFont="1" applyProtection="1">
      <protection locked="0"/>
    </xf>
    <xf numFmtId="44" fontId="4" fillId="0" borderId="0" xfId="2" applyNumberFormat="1" applyFont="1" applyAlignment="1" applyProtection="1">
      <alignment horizontal="center"/>
      <protection locked="0"/>
    </xf>
    <xf numFmtId="44" fontId="13" fillId="0" borderId="24" xfId="1" applyFont="1" applyFill="1" applyBorder="1" applyProtection="1"/>
    <xf numFmtId="0" fontId="2" fillId="0" borderId="0" xfId="2" applyFont="1" applyAlignment="1" applyProtection="1">
      <alignment horizontal="right"/>
      <protection locked="0"/>
    </xf>
    <xf numFmtId="0" fontId="11" fillId="0" borderId="0" xfId="2" applyFont="1" applyAlignment="1">
      <alignment horizontal="center"/>
    </xf>
    <xf numFmtId="0" fontId="13" fillId="0" borderId="0" xfId="1" applyNumberFormat="1" applyFont="1" applyFill="1" applyBorder="1" applyProtection="1"/>
    <xf numFmtId="165" fontId="11" fillId="0" borderId="0" xfId="1" applyNumberFormat="1" applyFont="1" applyFill="1" applyBorder="1" applyAlignment="1" applyProtection="1">
      <alignment horizontal="center"/>
    </xf>
    <xf numFmtId="0" fontId="18" fillId="0" borderId="0" xfId="2" applyFont="1"/>
    <xf numFmtId="0" fontId="3" fillId="0" borderId="0" xfId="2" applyFont="1" applyAlignment="1">
      <alignment horizontal="center"/>
    </xf>
    <xf numFmtId="0" fontId="19" fillId="0" borderId="0" xfId="2" applyFont="1" applyAlignment="1">
      <alignment horizontal="left"/>
    </xf>
    <xf numFmtId="0" fontId="19" fillId="0" borderId="0" xfId="2" applyFont="1"/>
    <xf numFmtId="44" fontId="1" fillId="0" borderId="0" xfId="1" applyFont="1" applyBorder="1" applyProtection="1"/>
    <xf numFmtId="0" fontId="1" fillId="0" borderId="0" xfId="2" applyProtection="1">
      <protection locked="0"/>
    </xf>
    <xf numFmtId="0" fontId="1" fillId="0" borderId="0" xfId="2" applyAlignment="1" applyProtection="1">
      <alignment horizontal="center"/>
      <protection locked="0"/>
    </xf>
    <xf numFmtId="44" fontId="1" fillId="0" borderId="0" xfId="2" applyNumberFormat="1" applyProtection="1">
      <protection locked="0"/>
    </xf>
    <xf numFmtId="44" fontId="1" fillId="0" borderId="0" xfId="1" applyFont="1" applyFill="1" applyBorder="1" applyProtection="1"/>
    <xf numFmtId="0" fontId="1" fillId="0" borderId="0" xfId="2" applyAlignment="1">
      <alignment horizontal="center"/>
    </xf>
    <xf numFmtId="44" fontId="14" fillId="0" borderId="0" xfId="1" applyFont="1" applyBorder="1" applyAlignment="1" applyProtection="1">
      <alignment horizontal="centerContinuous"/>
      <protection locked="0"/>
    </xf>
    <xf numFmtId="44" fontId="1" fillId="0" borderId="0" xfId="1" applyBorder="1" applyProtection="1">
      <protection locked="0"/>
    </xf>
    <xf numFmtId="13" fontId="1" fillId="0" borderId="0" xfId="1" applyNumberFormat="1" applyBorder="1" applyProtection="1">
      <protection locked="0"/>
    </xf>
    <xf numFmtId="44" fontId="1" fillId="0" borderId="0" xfId="1" applyProtection="1">
      <protection locked="0"/>
    </xf>
    <xf numFmtId="44" fontId="13" fillId="0" borderId="2" xfId="1" applyFont="1" applyBorder="1" applyProtection="1"/>
    <xf numFmtId="42" fontId="4" fillId="0" borderId="7" xfId="2" applyNumberFormat="1" applyFont="1" applyBorder="1" applyAlignment="1">
      <alignment horizontal="center"/>
    </xf>
    <xf numFmtId="44" fontId="4" fillId="0" borderId="7" xfId="1" applyFont="1" applyFill="1" applyBorder="1" applyAlignment="1" applyProtection="1">
      <alignment horizontal="center"/>
    </xf>
    <xf numFmtId="0" fontId="9" fillId="0" borderId="0" xfId="2" applyFont="1" applyAlignment="1">
      <alignment horizontal="center"/>
    </xf>
    <xf numFmtId="0" fontId="2" fillId="0" borderId="6" xfId="2" applyFont="1" applyBorder="1" applyAlignment="1">
      <alignment horizontal="center" shrinkToFit="1"/>
    </xf>
    <xf numFmtId="7" fontId="8" fillId="0" borderId="4" xfId="1" applyNumberFormat="1" applyFont="1" applyFill="1" applyBorder="1" applyAlignment="1" applyProtection="1">
      <alignment horizontal="center"/>
    </xf>
    <xf numFmtId="0" fontId="4" fillId="0" borderId="7" xfId="2" applyFont="1" applyBorder="1" applyAlignment="1">
      <alignment horizontal="center"/>
    </xf>
    <xf numFmtId="0" fontId="5" fillId="0" borderId="6" xfId="2" applyFont="1" applyBorder="1" applyAlignment="1">
      <alignment horizontal="right"/>
    </xf>
    <xf numFmtId="7" fontId="4" fillId="0" borderId="7" xfId="1" applyNumberFormat="1" applyFont="1" applyFill="1" applyBorder="1" applyAlignment="1" applyProtection="1">
      <alignment horizontal="center"/>
    </xf>
    <xf numFmtId="0" fontId="2" fillId="0" borderId="6" xfId="2" applyFont="1" applyBorder="1" applyAlignment="1" applyProtection="1">
      <alignment horizontal="right"/>
      <protection locked="0"/>
    </xf>
    <xf numFmtId="165" fontId="4" fillId="0" borderId="7" xfId="1" applyNumberFormat="1" applyFont="1" applyFill="1" applyBorder="1" applyAlignment="1" applyProtection="1">
      <alignment horizontal="center"/>
    </xf>
    <xf numFmtId="1" fontId="4" fillId="0" borderId="6" xfId="2" applyNumberFormat="1" applyFont="1" applyBorder="1" applyAlignment="1">
      <alignment horizontal="right"/>
    </xf>
    <xf numFmtId="0" fontId="4" fillId="0" borderId="6" xfId="2" applyFont="1" applyBorder="1"/>
    <xf numFmtId="0" fontId="5" fillId="0" borderId="6" xfId="2" applyFont="1" applyBorder="1"/>
    <xf numFmtId="0" fontId="5" fillId="0" borderId="7" xfId="2" applyFont="1" applyBorder="1"/>
    <xf numFmtId="0" fontId="2" fillId="0" borderId="6" xfId="2" applyFont="1" applyBorder="1" applyAlignment="1" applyProtection="1">
      <alignment horizontal="centerContinuous"/>
      <protection locked="0"/>
    </xf>
    <xf numFmtId="44" fontId="2" fillId="0" borderId="7" xfId="1" applyFont="1" applyFill="1" applyBorder="1" applyAlignment="1" applyProtection="1">
      <alignment horizontal="center"/>
      <protection locked="0"/>
    </xf>
    <xf numFmtId="0" fontId="4" fillId="0" borderId="6" xfId="2" applyFont="1" applyBorder="1" applyAlignment="1" applyProtection="1">
      <alignment horizontal="right"/>
      <protection locked="0"/>
    </xf>
    <xf numFmtId="165" fontId="4" fillId="0" borderId="7" xfId="1" applyNumberFormat="1" applyFont="1" applyBorder="1" applyAlignment="1" applyProtection="1">
      <alignment horizontal="center"/>
      <protection locked="0"/>
    </xf>
    <xf numFmtId="0" fontId="4" fillId="0" borderId="6" xfId="2" applyFont="1" applyBorder="1" applyProtection="1">
      <protection locked="0"/>
    </xf>
    <xf numFmtId="44" fontId="4" fillId="0" borderId="7" xfId="2" applyNumberFormat="1" applyFont="1" applyBorder="1" applyAlignment="1" applyProtection="1">
      <alignment horizontal="center"/>
      <protection locked="0"/>
    </xf>
    <xf numFmtId="0" fontId="4" fillId="0" borderId="7" xfId="2" applyFont="1" applyBorder="1" applyAlignment="1" applyProtection="1">
      <alignment horizontal="center"/>
      <protection locked="0"/>
    </xf>
    <xf numFmtId="0" fontId="2" fillId="0" borderId="8" xfId="2" applyFont="1" applyBorder="1" applyAlignment="1" applyProtection="1">
      <alignment horizontal="right"/>
      <protection locked="0"/>
    </xf>
    <xf numFmtId="44" fontId="4" fillId="0" borderId="30" xfId="1" applyFont="1" applyFill="1" applyBorder="1" applyAlignment="1" applyProtection="1">
      <alignment horizontal="center"/>
    </xf>
    <xf numFmtId="0" fontId="4" fillId="0" borderId="33" xfId="1" applyNumberFormat="1" applyFont="1" applyFill="1" applyBorder="1" applyAlignment="1" applyProtection="1">
      <alignment horizontal="center"/>
    </xf>
    <xf numFmtId="0" fontId="4" fillId="0" borderId="23" xfId="1" applyNumberFormat="1" applyFont="1" applyFill="1" applyBorder="1" applyAlignment="1" applyProtection="1">
      <alignment horizontal="center"/>
    </xf>
    <xf numFmtId="42" fontId="4" fillId="0" borderId="31" xfId="2" applyNumberFormat="1" applyFont="1" applyBorder="1" applyAlignment="1">
      <alignment horizontal="center"/>
    </xf>
    <xf numFmtId="0" fontId="5" fillId="0" borderId="33" xfId="2" quotePrefix="1" applyFont="1" applyBorder="1" applyAlignment="1">
      <alignment horizontal="center"/>
    </xf>
    <xf numFmtId="0" fontId="4" fillId="0" borderId="33" xfId="2" applyFont="1" applyBorder="1" applyAlignment="1">
      <alignment horizontal="center"/>
    </xf>
    <xf numFmtId="42" fontId="4" fillId="0" borderId="34" xfId="2" applyNumberFormat="1" applyFont="1" applyBorder="1" applyAlignment="1">
      <alignment horizontal="center"/>
    </xf>
    <xf numFmtId="0" fontId="5" fillId="0" borderId="23" xfId="2" quotePrefix="1" applyFont="1" applyBorder="1" applyAlignment="1">
      <alignment horizontal="center"/>
    </xf>
    <xf numFmtId="0" fontId="4" fillId="0" borderId="23" xfId="2" applyFont="1" applyBorder="1" applyAlignment="1">
      <alignment horizontal="center"/>
    </xf>
    <xf numFmtId="42" fontId="4" fillId="0" borderId="2" xfId="2" applyNumberFormat="1" applyFont="1" applyBorder="1" applyAlignment="1">
      <alignment horizontal="center"/>
    </xf>
    <xf numFmtId="0" fontId="8" fillId="0" borderId="33" xfId="2" applyFont="1" applyBorder="1" applyAlignment="1">
      <alignment horizontal="center"/>
    </xf>
    <xf numFmtId="0" fontId="4" fillId="0" borderId="33" xfId="2" applyFont="1" applyBorder="1" applyAlignment="1" applyProtection="1">
      <alignment horizontal="center"/>
      <protection locked="0"/>
    </xf>
    <xf numFmtId="0" fontId="4" fillId="0" borderId="33" xfId="1" applyNumberFormat="1" applyFont="1" applyBorder="1" applyAlignment="1" applyProtection="1">
      <alignment horizontal="center"/>
    </xf>
    <xf numFmtId="7" fontId="4" fillId="0" borderId="34" xfId="2" applyNumberFormat="1" applyFont="1" applyBorder="1" applyAlignment="1">
      <alignment horizontal="center"/>
    </xf>
    <xf numFmtId="0" fontId="34" fillId="0" borderId="1" xfId="2" applyFont="1" applyBorder="1"/>
    <xf numFmtId="0" fontId="31" fillId="0" borderId="1" xfId="2" applyFont="1" applyBorder="1" applyProtection="1">
      <protection hidden="1"/>
    </xf>
    <xf numFmtId="0" fontId="31" fillId="0" borderId="1" xfId="2" applyFont="1" applyBorder="1" applyAlignment="1">
      <alignment horizontal="left"/>
    </xf>
    <xf numFmtId="0" fontId="34" fillId="0" borderId="1" xfId="2" applyFont="1" applyBorder="1" applyAlignment="1">
      <alignment horizontal="center"/>
    </xf>
    <xf numFmtId="0" fontId="31" fillId="0" borderId="1" xfId="2" applyFont="1" applyBorder="1" applyAlignment="1">
      <alignment horizontal="center"/>
    </xf>
    <xf numFmtId="164" fontId="34" fillId="0" borderId="1" xfId="2" applyNumberFormat="1" applyFont="1" applyBorder="1" applyAlignment="1">
      <alignment horizontal="left"/>
    </xf>
    <xf numFmtId="0" fontId="31" fillId="0" borderId="1" xfId="2" applyFont="1" applyBorder="1" applyAlignment="1" applyProtection="1">
      <alignment horizontal="left" shrinkToFit="1"/>
      <protection locked="0"/>
    </xf>
    <xf numFmtId="49" fontId="34" fillId="0" borderId="1" xfId="2" applyNumberFormat="1" applyFont="1" applyBorder="1" applyAlignment="1">
      <alignment horizontal="left"/>
    </xf>
    <xf numFmtId="0" fontId="25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35" fillId="0" borderId="0" xfId="1" applyNumberFormat="1" applyFont="1" applyFill="1" applyBorder="1" applyAlignment="1" applyProtection="1">
      <alignment horizontal="center"/>
    </xf>
    <xf numFmtId="42" fontId="35" fillId="0" borderId="7" xfId="2" applyNumberFormat="1" applyFont="1" applyBorder="1" applyAlignment="1">
      <alignment horizontal="center"/>
    </xf>
    <xf numFmtId="0" fontId="40" fillId="4" borderId="0" xfId="0" applyFont="1" applyFill="1" applyAlignment="1">
      <alignment horizontal="center"/>
    </xf>
    <xf numFmtId="0" fontId="37" fillId="0" borderId="0" xfId="2" applyFont="1" applyAlignment="1">
      <alignment horizontal="center"/>
    </xf>
    <xf numFmtId="0" fontId="40" fillId="0" borderId="0" xfId="0" applyFont="1" applyAlignment="1">
      <alignment horizontal="center"/>
    </xf>
    <xf numFmtId="165" fontId="2" fillId="0" borderId="47" xfId="1" applyNumberFormat="1" applyFont="1" applyFill="1" applyBorder="1" applyAlignment="1" applyProtection="1">
      <alignment horizontal="center"/>
    </xf>
    <xf numFmtId="0" fontId="4" fillId="0" borderId="9" xfId="2" applyFont="1" applyBorder="1" applyAlignment="1" applyProtection="1">
      <alignment horizontal="center"/>
      <protection locked="0"/>
    </xf>
    <xf numFmtId="0" fontId="4" fillId="0" borderId="3" xfId="2" applyFont="1" applyBorder="1" applyAlignment="1">
      <alignment horizontal="right"/>
    </xf>
    <xf numFmtId="0" fontId="0" fillId="4" borderId="26" xfId="0" applyFill="1" applyBorder="1"/>
    <xf numFmtId="0" fontId="0" fillId="4" borderId="41" xfId="0" applyFill="1" applyBorder="1"/>
    <xf numFmtId="0" fontId="46" fillId="4" borderId="26" xfId="0" applyFont="1" applyFill="1" applyBorder="1" applyAlignment="1">
      <alignment horizontal="right"/>
    </xf>
    <xf numFmtId="0" fontId="5" fillId="4" borderId="26" xfId="2" applyFont="1" applyFill="1" applyBorder="1" applyAlignment="1">
      <alignment horizontal="center"/>
    </xf>
    <xf numFmtId="0" fontId="4" fillId="4" borderId="26" xfId="2" applyFont="1" applyFill="1" applyBorder="1" applyAlignment="1">
      <alignment horizontal="center"/>
    </xf>
    <xf numFmtId="44" fontId="4" fillId="4" borderId="41" xfId="2" applyNumberFormat="1" applyFont="1" applyFill="1" applyBorder="1"/>
    <xf numFmtId="0" fontId="47" fillId="4" borderId="26" xfId="2" applyFont="1" applyFill="1" applyBorder="1" applyAlignment="1">
      <alignment horizontal="right"/>
    </xf>
    <xf numFmtId="44" fontId="4" fillId="4" borderId="41" xfId="1" applyFont="1" applyFill="1" applyBorder="1" applyProtection="1"/>
    <xf numFmtId="0" fontId="47" fillId="4" borderId="26" xfId="2" applyFont="1" applyFill="1" applyBorder="1" applyAlignment="1">
      <alignment horizontal="right" shrinkToFit="1"/>
    </xf>
    <xf numFmtId="0" fontId="47" fillId="4" borderId="26" xfId="1" applyNumberFormat="1" applyFont="1" applyFill="1" applyBorder="1" applyAlignment="1" applyProtection="1">
      <alignment horizontal="right"/>
    </xf>
    <xf numFmtId="0" fontId="5" fillId="5" borderId="26" xfId="2" applyFont="1" applyFill="1" applyBorder="1" applyAlignment="1">
      <alignment horizontal="center"/>
    </xf>
    <xf numFmtId="0" fontId="4" fillId="5" borderId="26" xfId="2" applyFont="1" applyFill="1" applyBorder="1" applyAlignment="1">
      <alignment horizontal="center"/>
    </xf>
    <xf numFmtId="0" fontId="48" fillId="5" borderId="26" xfId="2" applyFont="1" applyFill="1" applyBorder="1" applyAlignment="1">
      <alignment horizontal="right" shrinkToFit="1"/>
    </xf>
    <xf numFmtId="0" fontId="4" fillId="0" borderId="0" xfId="2" quotePrefix="1" applyFont="1" applyAlignment="1">
      <alignment horizontal="center"/>
    </xf>
    <xf numFmtId="0" fontId="5" fillId="0" borderId="0" xfId="2" quotePrefix="1" applyFont="1" applyAlignment="1">
      <alignment horizontal="center"/>
    </xf>
    <xf numFmtId="0" fontId="4" fillId="0" borderId="0" xfId="2" applyFont="1" applyAlignment="1">
      <alignment horizontal="center" shrinkToFit="1"/>
    </xf>
    <xf numFmtId="0" fontId="36" fillId="0" borderId="0" xfId="2" quotePrefix="1" applyFont="1" applyAlignment="1">
      <alignment horizontal="center"/>
    </xf>
    <xf numFmtId="0" fontId="35" fillId="0" borderId="0" xfId="2" applyFont="1" applyAlignment="1">
      <alignment horizontal="center"/>
    </xf>
    <xf numFmtId="44" fontId="4" fillId="5" borderId="41" xfId="1" applyFont="1" applyFill="1" applyBorder="1" applyProtection="1"/>
    <xf numFmtId="0" fontId="4" fillId="2" borderId="0" xfId="2" applyFont="1" applyFill="1" applyAlignment="1">
      <alignment horizontal="center"/>
    </xf>
    <xf numFmtId="0" fontId="1" fillId="0" borderId="14" xfId="2" applyBorder="1"/>
    <xf numFmtId="0" fontId="15" fillId="0" borderId="0" xfId="2" applyFont="1"/>
    <xf numFmtId="0" fontId="1" fillId="0" borderId="49" xfId="2" applyBorder="1"/>
    <xf numFmtId="0" fontId="55" fillId="0" borderId="48" xfId="2" applyFont="1" applyBorder="1"/>
    <xf numFmtId="0" fontId="15" fillId="0" borderId="53" xfId="2" applyFont="1" applyBorder="1"/>
    <xf numFmtId="0" fontId="15" fillId="0" borderId="14" xfId="2" applyFont="1" applyBorder="1"/>
    <xf numFmtId="0" fontId="1" fillId="0" borderId="54" xfId="2" applyBorder="1"/>
    <xf numFmtId="0" fontId="4" fillId="0" borderId="6" xfId="2" applyFont="1" applyBorder="1" applyAlignment="1">
      <alignment horizontal="left" shrinkToFit="1"/>
    </xf>
    <xf numFmtId="0" fontId="4" fillId="0" borderId="0" xfId="2" applyFont="1" applyAlignment="1">
      <alignment horizontal="left" shrinkToFit="1"/>
    </xf>
    <xf numFmtId="0" fontId="15" fillId="0" borderId="6" xfId="2" applyFont="1" applyBorder="1" applyAlignment="1">
      <alignment shrinkToFit="1"/>
    </xf>
    <xf numFmtId="0" fontId="15" fillId="0" borderId="0" xfId="2" applyFont="1" applyAlignment="1">
      <alignment shrinkToFit="1"/>
    </xf>
    <xf numFmtId="0" fontId="15" fillId="0" borderId="6" xfId="2" applyFont="1" applyBorder="1" applyAlignment="1">
      <alignment horizontal="left"/>
    </xf>
    <xf numFmtId="0" fontId="31" fillId="4" borderId="40" xfId="2" applyFont="1" applyFill="1" applyBorder="1" applyAlignment="1">
      <alignment horizontal="center"/>
    </xf>
    <xf numFmtId="0" fontId="31" fillId="4" borderId="26" xfId="2" applyFont="1" applyFill="1" applyBorder="1" applyAlignment="1">
      <alignment horizontal="center"/>
    </xf>
    <xf numFmtId="0" fontId="27" fillId="0" borderId="0" xfId="2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5" fillId="0" borderId="0" xfId="2" applyFont="1" applyAlignment="1">
      <alignment horizontal="left" shrinkToFit="1"/>
    </xf>
    <xf numFmtId="0" fontId="4" fillId="0" borderId="6" xfId="2" applyFont="1" applyBorder="1" applyAlignment="1">
      <alignment horizontal="left"/>
    </xf>
    <xf numFmtId="0" fontId="1" fillId="0" borderId="0" xfId="2" applyAlignment="1">
      <alignment horizontal="left"/>
    </xf>
    <xf numFmtId="0" fontId="8" fillId="0" borderId="6" xfId="2" applyFont="1" applyBorder="1" applyAlignment="1">
      <alignment horizontal="left" vertical="center" shrinkToFit="1"/>
    </xf>
    <xf numFmtId="0" fontId="8" fillId="0" borderId="0" xfId="2" applyFont="1" applyAlignment="1">
      <alignment horizontal="left" vertical="center" shrinkToFit="1"/>
    </xf>
    <xf numFmtId="0" fontId="38" fillId="0" borderId="6" xfId="2" applyFont="1" applyBorder="1" applyAlignment="1" applyProtection="1">
      <alignment horizontal="left" shrinkToFit="1"/>
      <protection locked="0"/>
    </xf>
    <xf numFmtId="0" fontId="38" fillId="0" borderId="0" xfId="2" applyFont="1" applyAlignment="1" applyProtection="1">
      <alignment horizontal="left" shrinkToFit="1"/>
      <protection locked="0"/>
    </xf>
    <xf numFmtId="0" fontId="4" fillId="0" borderId="28" xfId="2" applyFont="1" applyBorder="1" applyAlignment="1">
      <alignment horizontal="left" vertical="center" shrinkToFit="1"/>
    </xf>
    <xf numFmtId="0" fontId="0" fillId="0" borderId="24" xfId="0" applyBorder="1" applyAlignment="1">
      <alignment horizontal="left" vertical="center" shrinkToFit="1"/>
    </xf>
    <xf numFmtId="0" fontId="4" fillId="0" borderId="29" xfId="2" applyFont="1" applyBorder="1" applyAlignment="1">
      <alignment horizontal="left"/>
    </xf>
    <xf numFmtId="0" fontId="0" fillId="0" borderId="25" xfId="0" applyBorder="1" applyAlignment="1">
      <alignment horizontal="left"/>
    </xf>
    <xf numFmtId="0" fontId="31" fillId="4" borderId="42" xfId="2" applyFont="1" applyFill="1" applyBorder="1" applyAlignment="1" applyProtection="1">
      <alignment horizontal="center" vertical="center" wrapText="1"/>
      <protection locked="0"/>
    </xf>
    <xf numFmtId="0" fontId="34" fillId="4" borderId="26" xfId="2" applyFont="1" applyFill="1" applyBorder="1" applyAlignment="1">
      <alignment horizontal="center"/>
    </xf>
    <xf numFmtId="0" fontId="34" fillId="4" borderId="43" xfId="2" applyFont="1" applyFill="1" applyBorder="1" applyAlignment="1">
      <alignment horizontal="center"/>
    </xf>
    <xf numFmtId="0" fontId="22" fillId="5" borderId="35" xfId="2" applyFont="1" applyFill="1" applyBorder="1" applyAlignment="1" applyProtection="1">
      <alignment horizontal="center" vertical="center" wrapText="1"/>
      <protection locked="0"/>
    </xf>
    <xf numFmtId="0" fontId="24" fillId="5" borderId="36" xfId="2" applyFont="1" applyFill="1" applyBorder="1" applyAlignment="1" applyProtection="1">
      <alignment horizontal="center" vertical="center" wrapText="1"/>
      <protection locked="0"/>
    </xf>
    <xf numFmtId="0" fontId="25" fillId="5" borderId="36" xfId="2" applyFont="1" applyFill="1" applyBorder="1" applyAlignment="1">
      <alignment horizontal="center" vertical="center" wrapText="1"/>
    </xf>
    <xf numFmtId="0" fontId="22" fillId="5" borderId="37" xfId="2" applyFont="1" applyFill="1" applyBorder="1" applyAlignment="1" applyProtection="1">
      <alignment horizontal="center" vertical="center" wrapText="1"/>
      <protection locked="0"/>
    </xf>
    <xf numFmtId="0" fontId="25" fillId="5" borderId="0" xfId="2" applyFont="1" applyFill="1" applyAlignment="1">
      <alignment horizontal="center"/>
    </xf>
    <xf numFmtId="0" fontId="25" fillId="5" borderId="38" xfId="2" applyFont="1" applyFill="1" applyBorder="1" applyAlignment="1">
      <alignment horizontal="center" vertical="center"/>
    </xf>
    <xf numFmtId="0" fontId="25" fillId="5" borderId="39" xfId="2" applyFont="1" applyFill="1" applyBorder="1" applyAlignment="1">
      <alignment horizontal="center" vertical="center"/>
    </xf>
    <xf numFmtId="0" fontId="4" fillId="0" borderId="0" xfId="2" applyFont="1" applyAlignment="1" applyProtection="1">
      <alignment horizontal="left" vertical="center" wrapText="1"/>
      <protection locked="0"/>
    </xf>
    <xf numFmtId="0" fontId="5" fillId="0" borderId="0" xfId="2" applyFont="1" applyAlignment="1">
      <alignment horizontal="left"/>
    </xf>
    <xf numFmtId="0" fontId="4" fillId="0" borderId="19" xfId="2" applyFont="1" applyBorder="1" applyAlignment="1" applyProtection="1">
      <alignment horizontal="left" vertical="center" wrapText="1" indent="2"/>
      <protection locked="0"/>
    </xf>
    <xf numFmtId="0" fontId="5" fillId="0" borderId="0" xfId="2" applyFont="1" applyAlignment="1">
      <alignment horizontal="left" indent="2"/>
    </xf>
    <xf numFmtId="0" fontId="8" fillId="0" borderId="0" xfId="2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20" xfId="0" applyBorder="1" applyAlignment="1">
      <alignment horizontal="left" indent="2"/>
    </xf>
    <xf numFmtId="0" fontId="8" fillId="0" borderId="20" xfId="2" applyFont="1" applyBorder="1" applyAlignment="1">
      <alignment horizontal="left" indent="2"/>
    </xf>
    <xf numFmtId="0" fontId="8" fillId="0" borderId="19" xfId="2" applyFont="1" applyBorder="1" applyAlignment="1">
      <alignment horizontal="left" indent="2"/>
    </xf>
    <xf numFmtId="0" fontId="33" fillId="0" borderId="0" xfId="2" applyFont="1" applyAlignment="1">
      <alignment horizontal="left" wrapText="1" indent="2"/>
    </xf>
    <xf numFmtId="0" fontId="33" fillId="0" borderId="20" xfId="2" applyFont="1" applyBorder="1" applyAlignment="1">
      <alignment horizontal="left" wrapText="1" indent="2"/>
    </xf>
    <xf numFmtId="0" fontId="37" fillId="6" borderId="46" xfId="2" applyFont="1" applyFill="1" applyBorder="1" applyAlignment="1" applyProtection="1">
      <alignment horizontal="center" vertical="center" wrapText="1"/>
      <protection locked="0"/>
    </xf>
    <xf numFmtId="0" fontId="45" fillId="6" borderId="12" xfId="0" applyFont="1" applyFill="1" applyBorder="1" applyAlignment="1">
      <alignment horizontal="center"/>
    </xf>
    <xf numFmtId="0" fontId="45" fillId="6" borderId="15" xfId="0" applyFont="1" applyFill="1" applyBorder="1" applyAlignment="1">
      <alignment horizontal="center"/>
    </xf>
    <xf numFmtId="0" fontId="4" fillId="0" borderId="25" xfId="1" applyNumberFormat="1" applyFont="1" applyFill="1" applyBorder="1" applyAlignment="1" applyProtection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2" fillId="4" borderId="26" xfId="0" applyFont="1" applyFill="1" applyBorder="1" applyAlignment="1">
      <alignment horizontal="center"/>
    </xf>
    <xf numFmtId="0" fontId="4" fillId="0" borderId="0" xfId="2" applyFont="1" applyAlignment="1">
      <alignment horizontal="left"/>
    </xf>
    <xf numFmtId="0" fontId="5" fillId="0" borderId="0" xfId="2" applyFont="1" applyAlignment="1" applyProtection="1">
      <alignment horizontal="left"/>
      <protection hidden="1"/>
    </xf>
    <xf numFmtId="0" fontId="4" fillId="0" borderId="29" xfId="2" applyFont="1" applyBorder="1" applyAlignment="1">
      <alignment horizontal="left" vertical="center" wrapText="1"/>
    </xf>
    <xf numFmtId="0" fontId="4" fillId="0" borderId="25" xfId="2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31" fillId="4" borderId="40" xfId="2" applyFont="1" applyFill="1" applyBorder="1" applyAlignment="1">
      <alignment horizontal="center" shrinkToFit="1"/>
    </xf>
    <xf numFmtId="0" fontId="31" fillId="4" borderId="26" xfId="2" applyFont="1" applyFill="1" applyBorder="1" applyAlignment="1">
      <alignment horizontal="center" shrinkToFit="1"/>
    </xf>
    <xf numFmtId="0" fontId="4" fillId="0" borderId="6" xfId="2" applyFont="1" applyBorder="1" applyAlignment="1">
      <alignment horizontal="left" vertical="center" shrinkToFit="1"/>
    </xf>
    <xf numFmtId="0" fontId="4" fillId="0" borderId="0" xfId="2" applyFont="1" applyAlignment="1">
      <alignment horizontal="left" vertical="center" shrinkToFit="1"/>
    </xf>
    <xf numFmtId="0" fontId="34" fillId="0" borderId="1" xfId="2" applyFont="1" applyBorder="1" applyAlignment="1" applyProtection="1">
      <alignment horizontal="left" shrinkToFit="1"/>
      <protection hidden="1"/>
    </xf>
    <xf numFmtId="0" fontId="34" fillId="0" borderId="1" xfId="2" applyFont="1" applyBorder="1" applyAlignment="1">
      <alignment horizontal="left" shrinkToFit="1"/>
    </xf>
    <xf numFmtId="49" fontId="34" fillId="0" borderId="1" xfId="2" applyNumberFormat="1" applyFont="1" applyBorder="1" applyAlignment="1">
      <alignment horizontal="left"/>
    </xf>
    <xf numFmtId="0" fontId="34" fillId="0" borderId="1" xfId="2" applyFont="1" applyBorder="1" applyAlignment="1">
      <alignment horizontal="center"/>
    </xf>
    <xf numFmtId="0" fontId="34" fillId="0" borderId="1" xfId="2" applyFont="1" applyBorder="1" applyAlignment="1">
      <alignment horizontal="left"/>
    </xf>
    <xf numFmtId="0" fontId="34" fillId="0" borderId="1" xfId="2" applyFont="1" applyBorder="1" applyAlignment="1" applyProtection="1">
      <alignment horizontal="left"/>
      <protection hidden="1"/>
    </xf>
    <xf numFmtId="164" fontId="34" fillId="0" borderId="1" xfId="2" applyNumberFormat="1" applyFont="1" applyBorder="1" applyAlignment="1">
      <alignment horizontal="left"/>
    </xf>
    <xf numFmtId="0" fontId="34" fillId="0" borderId="1" xfId="2" applyFont="1" applyBorder="1" applyAlignment="1" applyProtection="1">
      <alignment horizontal="left"/>
      <protection locked="0"/>
    </xf>
    <xf numFmtId="0" fontId="34" fillId="0" borderId="22" xfId="2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4" fillId="0" borderId="19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 applyProtection="1">
      <alignment horizontal="left" vertical="center"/>
      <protection locked="0"/>
    </xf>
    <xf numFmtId="0" fontId="5" fillId="0" borderId="20" xfId="2" applyFont="1" applyBorder="1" applyAlignment="1">
      <alignment horizontal="left"/>
    </xf>
    <xf numFmtId="0" fontId="4" fillId="0" borderId="17" xfId="2" applyFont="1" applyBorder="1" applyAlignment="1">
      <alignment horizontal="left" vertical="center" wrapText="1"/>
    </xf>
    <xf numFmtId="0" fontId="5" fillId="0" borderId="17" xfId="2" applyFont="1" applyBorder="1" applyAlignment="1">
      <alignment vertical="center" wrapText="1"/>
    </xf>
    <xf numFmtId="0" fontId="5" fillId="0" borderId="18" xfId="2" applyFont="1" applyBorder="1" applyAlignment="1">
      <alignment vertical="center" wrapText="1"/>
    </xf>
    <xf numFmtId="0" fontId="4" fillId="0" borderId="19" xfId="2" applyFont="1" applyBorder="1" applyAlignment="1" applyProtection="1">
      <alignment horizontal="left" vertical="center" wrapText="1"/>
      <protection locked="0"/>
    </xf>
    <xf numFmtId="0" fontId="5" fillId="0" borderId="0" xfId="2" applyFont="1" applyAlignment="1">
      <alignment horizontal="left" vertical="center" wrapText="1"/>
    </xf>
    <xf numFmtId="0" fontId="5" fillId="0" borderId="20" xfId="2" applyFont="1" applyBorder="1" applyAlignment="1">
      <alignment horizontal="left" vertical="center" wrapText="1"/>
    </xf>
    <xf numFmtId="0" fontId="8" fillId="0" borderId="0" xfId="2" applyFont="1" applyAlignment="1">
      <alignment horizontal="left"/>
    </xf>
    <xf numFmtId="0" fontId="8" fillId="0" borderId="20" xfId="2" applyFont="1" applyBorder="1" applyAlignment="1">
      <alignment horizontal="left"/>
    </xf>
    <xf numFmtId="0" fontId="4" fillId="0" borderId="20" xfId="2" applyFont="1" applyBorder="1" applyAlignment="1">
      <alignment horizontal="left" vertical="center" wrapText="1"/>
    </xf>
    <xf numFmtId="0" fontId="4" fillId="3" borderId="29" xfId="2" applyFont="1" applyFill="1" applyBorder="1" applyAlignment="1">
      <alignment horizontal="left"/>
    </xf>
    <xf numFmtId="0" fontId="4" fillId="0" borderId="6" xfId="2" applyFont="1" applyBorder="1" applyAlignment="1" applyProtection="1">
      <alignment horizontal="left"/>
      <protection locked="0"/>
    </xf>
    <xf numFmtId="0" fontId="4" fillId="0" borderId="0" xfId="2" applyFont="1" applyAlignment="1" applyProtection="1">
      <alignment horizontal="left"/>
      <protection locked="0"/>
    </xf>
    <xf numFmtId="0" fontId="8" fillId="0" borderId="19" xfId="2" applyFont="1" applyBorder="1" applyAlignment="1">
      <alignment horizontal="left"/>
    </xf>
    <xf numFmtId="0" fontId="4" fillId="0" borderId="14" xfId="2" applyFont="1" applyBorder="1" applyAlignment="1" applyProtection="1">
      <alignment horizontal="left" shrinkToFit="1"/>
      <protection locked="0"/>
    </xf>
    <xf numFmtId="0" fontId="41" fillId="4" borderId="11" xfId="2" applyFont="1" applyFill="1" applyBorder="1" applyAlignment="1" applyProtection="1">
      <alignment horizontal="center" vertical="center" wrapText="1"/>
      <protection locked="0"/>
    </xf>
    <xf numFmtId="0" fontId="42" fillId="4" borderId="12" xfId="2" applyFont="1" applyFill="1" applyBorder="1" applyAlignment="1">
      <alignment horizontal="center"/>
    </xf>
    <xf numFmtId="0" fontId="42" fillId="4" borderId="13" xfId="2" applyFont="1" applyFill="1" applyBorder="1" applyAlignment="1">
      <alignment horizontal="center"/>
    </xf>
    <xf numFmtId="0" fontId="4" fillId="0" borderId="16" xfId="2" applyFont="1" applyBorder="1" applyAlignment="1" applyProtection="1">
      <alignment horizontal="left" vertical="center" wrapText="1"/>
      <protection locked="0"/>
    </xf>
    <xf numFmtId="0" fontId="4" fillId="0" borderId="17" xfId="2" applyFont="1" applyBorder="1" applyAlignment="1" applyProtection="1">
      <alignment horizontal="left" vertical="center" wrapText="1"/>
      <protection locked="0"/>
    </xf>
    <xf numFmtId="0" fontId="5" fillId="0" borderId="17" xfId="2" applyFont="1" applyBorder="1" applyAlignment="1">
      <alignment horizontal="left" vertical="center" wrapText="1"/>
    </xf>
    <xf numFmtId="0" fontId="31" fillId="4" borderId="40" xfId="2" applyFont="1" applyFill="1" applyBorder="1" applyAlignment="1">
      <alignment horizontal="center" vertical="center"/>
    </xf>
    <xf numFmtId="0" fontId="32" fillId="4" borderId="26" xfId="0" applyFont="1" applyFill="1" applyBorder="1" applyAlignment="1">
      <alignment horizontal="center" vertical="center"/>
    </xf>
    <xf numFmtId="0" fontId="29" fillId="4" borderId="40" xfId="2" applyFont="1" applyFill="1" applyBorder="1" applyAlignment="1" applyProtection="1">
      <alignment horizontal="center"/>
      <protection locked="0"/>
    </xf>
    <xf numFmtId="0" fontId="30" fillId="4" borderId="26" xfId="2" applyFont="1" applyFill="1" applyBorder="1" applyAlignment="1">
      <alignment horizontal="center"/>
    </xf>
    <xf numFmtId="0" fontId="49" fillId="0" borderId="0" xfId="2" applyFont="1" applyAlignment="1">
      <alignment horizontal="left" indent="2"/>
    </xf>
    <xf numFmtId="0" fontId="49" fillId="0" borderId="20" xfId="2" applyFont="1" applyBorder="1" applyAlignment="1">
      <alignment horizontal="left" indent="2"/>
    </xf>
    <xf numFmtId="0" fontId="8" fillId="0" borderId="44" xfId="2" applyFont="1" applyBorder="1" applyAlignment="1">
      <alignment horizontal="left" indent="2"/>
    </xf>
    <xf numFmtId="0" fontId="0" fillId="0" borderId="24" xfId="0" applyBorder="1" applyAlignment="1">
      <alignment horizontal="left" indent="2"/>
    </xf>
    <xf numFmtId="0" fontId="8" fillId="0" borderId="24" xfId="2" applyFont="1" applyBorder="1" applyAlignment="1">
      <alignment horizontal="left" indent="2"/>
    </xf>
    <xf numFmtId="0" fontId="8" fillId="0" borderId="45" xfId="2" applyFont="1" applyBorder="1" applyAlignment="1">
      <alignment horizontal="left" indent="2"/>
    </xf>
    <xf numFmtId="0" fontId="24" fillId="5" borderId="19" xfId="2" applyFont="1" applyFill="1" applyBorder="1" applyAlignment="1" applyProtection="1">
      <alignment horizontal="center" vertical="center" wrapText="1"/>
      <protection locked="0"/>
    </xf>
    <xf numFmtId="0" fontId="24" fillId="5" borderId="0" xfId="2" applyFont="1" applyFill="1" applyAlignment="1" applyProtection="1">
      <alignment horizontal="center" vertical="center" wrapText="1"/>
      <protection locked="0"/>
    </xf>
    <xf numFmtId="0" fontId="25" fillId="5" borderId="0" xfId="2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43" fillId="4" borderId="42" xfId="2" applyFont="1" applyFill="1" applyBorder="1" applyAlignment="1" applyProtection="1">
      <alignment horizontal="center" vertical="center" wrapText="1"/>
      <protection locked="0"/>
    </xf>
    <xf numFmtId="0" fontId="44" fillId="4" borderId="26" xfId="2" applyFont="1" applyFill="1" applyBorder="1" applyAlignment="1">
      <alignment horizontal="center"/>
    </xf>
    <xf numFmtId="0" fontId="44" fillId="4" borderId="43" xfId="2" applyFont="1" applyFill="1" applyBorder="1" applyAlignment="1">
      <alignment horizontal="center"/>
    </xf>
    <xf numFmtId="0" fontId="31" fillId="0" borderId="1" xfId="2" applyFont="1" applyBorder="1" applyAlignment="1">
      <alignment horizontal="center"/>
    </xf>
    <xf numFmtId="0" fontId="31" fillId="0" borderId="22" xfId="2" applyFont="1" applyBorder="1" applyAlignment="1">
      <alignment horizontal="center"/>
    </xf>
    <xf numFmtId="0" fontId="31" fillId="0" borderId="2" xfId="2" applyFont="1" applyBorder="1" applyAlignment="1">
      <alignment horizontal="center"/>
    </xf>
    <xf numFmtId="0" fontId="4" fillId="0" borderId="3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37" fillId="4" borderId="11" xfId="2" applyFont="1" applyFill="1" applyBorder="1" applyAlignment="1">
      <alignment horizontal="center" vertical="center"/>
    </xf>
    <xf numFmtId="0" fontId="37" fillId="4" borderId="12" xfId="2" applyFont="1" applyFill="1" applyBorder="1" applyAlignment="1">
      <alignment horizontal="center" vertical="center"/>
    </xf>
    <xf numFmtId="0" fontId="37" fillId="4" borderId="13" xfId="2" applyFont="1" applyFill="1" applyBorder="1" applyAlignment="1">
      <alignment horizontal="center" vertical="center"/>
    </xf>
    <xf numFmtId="0" fontId="34" fillId="0" borderId="23" xfId="2" applyFont="1" applyBorder="1" applyAlignment="1">
      <alignment horizontal="left"/>
    </xf>
    <xf numFmtId="0" fontId="34" fillId="0" borderId="2" xfId="2" applyFont="1" applyBorder="1" applyAlignment="1">
      <alignment horizontal="left"/>
    </xf>
    <xf numFmtId="0" fontId="5" fillId="0" borderId="7" xfId="2" applyFont="1" applyBorder="1" applyAlignment="1">
      <alignment horizontal="left"/>
    </xf>
    <xf numFmtId="0" fontId="4" fillId="0" borderId="8" xfId="2" applyFont="1" applyBorder="1" applyAlignment="1">
      <alignment horizontal="left"/>
    </xf>
    <xf numFmtId="0" fontId="1" fillId="0" borderId="9" xfId="2" applyBorder="1" applyAlignment="1">
      <alignment horizontal="left"/>
    </xf>
    <xf numFmtId="0" fontId="51" fillId="0" borderId="8" xfId="2" applyFont="1" applyBorder="1" applyAlignment="1">
      <alignment horizontal="left" vertical="center"/>
    </xf>
    <xf numFmtId="0" fontId="51" fillId="0" borderId="9" xfId="2" applyFont="1" applyBorder="1" applyAlignment="1">
      <alignment horizontal="left" vertical="center"/>
    </xf>
    <xf numFmtId="0" fontId="51" fillId="0" borderId="5" xfId="2" applyFont="1" applyBorder="1" applyAlignment="1">
      <alignment horizontal="left" vertical="center"/>
    </xf>
    <xf numFmtId="0" fontId="51" fillId="0" borderId="4" xfId="2" applyFont="1" applyBorder="1" applyAlignment="1">
      <alignment horizontal="left" vertical="center"/>
    </xf>
    <xf numFmtId="0" fontId="51" fillId="0" borderId="0" xfId="2" applyFont="1" applyAlignment="1">
      <alignment horizontal="left" vertical="center"/>
    </xf>
    <xf numFmtId="0" fontId="51" fillId="0" borderId="7" xfId="2" applyFont="1" applyBorder="1" applyAlignment="1">
      <alignment horizontal="left" vertical="center"/>
    </xf>
    <xf numFmtId="0" fontId="4" fillId="0" borderId="6" xfId="2" applyFont="1" applyBorder="1" applyAlignment="1">
      <alignment horizontal="left" wrapText="1" shrinkToFit="1"/>
    </xf>
    <xf numFmtId="0" fontId="4" fillId="0" borderId="0" xfId="2" applyFont="1" applyAlignment="1">
      <alignment horizontal="left" wrapText="1" shrinkToFit="1"/>
    </xf>
    <xf numFmtId="0" fontId="35" fillId="0" borderId="6" xfId="2" applyFont="1" applyBorder="1" applyAlignment="1">
      <alignment horizontal="left" shrinkToFit="1"/>
    </xf>
    <xf numFmtId="0" fontId="35" fillId="0" borderId="0" xfId="2" applyFont="1" applyAlignment="1">
      <alignment horizontal="left" shrinkToFit="1"/>
    </xf>
    <xf numFmtId="0" fontId="4" fillId="0" borderId="6" xfId="2" applyFont="1" applyBorder="1" applyAlignment="1">
      <alignment horizontal="left" wrapText="1"/>
    </xf>
    <xf numFmtId="0" fontId="4" fillId="0" borderId="0" xfId="2" applyFont="1" applyAlignment="1">
      <alignment horizontal="left" wrapText="1"/>
    </xf>
    <xf numFmtId="0" fontId="8" fillId="0" borderId="6" xfId="2" applyFont="1" applyBorder="1" applyAlignment="1">
      <alignment shrinkToFit="1"/>
    </xf>
    <xf numFmtId="0" fontId="8" fillId="0" borderId="0" xfId="2" applyFont="1" applyAlignment="1">
      <alignment shrinkToFit="1"/>
    </xf>
    <xf numFmtId="0" fontId="0" fillId="0" borderId="0" xfId="0" applyAlignment="1">
      <alignment horizontal="left" shrinkToFit="1"/>
    </xf>
    <xf numFmtId="0" fontId="29" fillId="4" borderId="40" xfId="2" applyFont="1" applyFill="1" applyBorder="1" applyAlignment="1">
      <alignment horizontal="center" shrinkToFit="1"/>
    </xf>
    <xf numFmtId="0" fontId="29" fillId="4" borderId="26" xfId="2" applyFont="1" applyFill="1" applyBorder="1" applyAlignment="1">
      <alignment horizontal="center" shrinkToFit="1"/>
    </xf>
    <xf numFmtId="0" fontId="35" fillId="0" borderId="6" xfId="2" applyFont="1" applyBorder="1" applyAlignment="1">
      <alignment horizontal="left"/>
    </xf>
    <xf numFmtId="0" fontId="35" fillId="0" borderId="0" xfId="2" applyFont="1" applyAlignment="1">
      <alignment horizontal="left"/>
    </xf>
    <xf numFmtId="0" fontId="4" fillId="0" borderId="22" xfId="2" applyFont="1" applyBorder="1" applyAlignment="1">
      <alignment horizontal="left" shrinkToFit="1"/>
    </xf>
    <xf numFmtId="0" fontId="4" fillId="0" borderId="23" xfId="2" applyFont="1" applyBorder="1" applyAlignment="1">
      <alignment horizontal="left" shrinkToFit="1"/>
    </xf>
    <xf numFmtId="0" fontId="4" fillId="0" borderId="32" xfId="2" applyFont="1" applyBorder="1" applyAlignment="1">
      <alignment horizontal="left" shrinkToFit="1"/>
    </xf>
    <xf numFmtId="0" fontId="4" fillId="0" borderId="33" xfId="2" applyFont="1" applyBorder="1" applyAlignment="1">
      <alignment horizontal="left" shrinkToFit="1"/>
    </xf>
    <xf numFmtId="0" fontId="31" fillId="5" borderId="40" xfId="2" applyFont="1" applyFill="1" applyBorder="1" applyAlignment="1">
      <alignment horizontal="center" shrinkToFit="1"/>
    </xf>
    <xf numFmtId="0" fontId="31" fillId="5" borderId="26" xfId="2" applyFont="1" applyFill="1" applyBorder="1" applyAlignment="1">
      <alignment horizontal="center" shrinkToFit="1"/>
    </xf>
    <xf numFmtId="0" fontId="8" fillId="0" borderId="32" xfId="2" applyFont="1" applyBorder="1" applyAlignment="1">
      <alignment horizontal="left" shrinkToFit="1"/>
    </xf>
    <xf numFmtId="0" fontId="8" fillId="0" borderId="33" xfId="2" applyFont="1" applyBorder="1" applyAlignment="1">
      <alignment horizontal="left" shrinkToFit="1"/>
    </xf>
    <xf numFmtId="0" fontId="37" fillId="4" borderId="11" xfId="2" applyFont="1" applyFill="1" applyBorder="1" applyAlignment="1">
      <alignment horizontal="center"/>
    </xf>
    <xf numFmtId="0" fontId="40" fillId="4" borderId="12" xfId="0" applyFont="1" applyFill="1" applyBorder="1" applyAlignment="1">
      <alignment horizontal="center"/>
    </xf>
    <xf numFmtId="0" fontId="7" fillId="0" borderId="48" xfId="2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2" fillId="7" borderId="11" xfId="2" applyFont="1" applyFill="1" applyBorder="1" applyAlignment="1">
      <alignment horizontal="center"/>
    </xf>
    <xf numFmtId="0" fontId="53" fillId="7" borderId="12" xfId="0" applyFont="1" applyFill="1" applyBorder="1" applyAlignment="1">
      <alignment horizontal="center"/>
    </xf>
    <xf numFmtId="0" fontId="26" fillId="0" borderId="0" xfId="2" applyFont="1" applyAlignment="1">
      <alignment horizontal="left"/>
    </xf>
    <xf numFmtId="0" fontId="27" fillId="0" borderId="0" xfId="2" applyFont="1" applyAlignment="1">
      <alignment horizontal="left"/>
    </xf>
    <xf numFmtId="0" fontId="4" fillId="0" borderId="0" xfId="2" applyFont="1" applyAlignment="1" applyProtection="1">
      <alignment shrinkToFit="1"/>
      <protection locked="0"/>
    </xf>
    <xf numFmtId="0" fontId="5" fillId="0" borderId="0" xfId="2" applyFont="1" applyAlignment="1" applyProtection="1">
      <alignment horizontal="left"/>
      <protection locked="0"/>
    </xf>
    <xf numFmtId="0" fontId="8" fillId="0" borderId="5" xfId="2" applyFont="1" applyBorder="1" applyAlignment="1" applyProtection="1">
      <alignment horizontal="left"/>
      <protection locked="0"/>
    </xf>
    <xf numFmtId="0" fontId="2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4" fillId="0" borderId="0" xfId="2" applyFont="1" applyAlignment="1"/>
    <xf numFmtId="0" fontId="5" fillId="0" borderId="0" xfId="2" applyFont="1" applyAlignment="1"/>
    <xf numFmtId="0" fontId="1" fillId="0" borderId="0" xfId="2" applyAlignment="1"/>
    <xf numFmtId="0" fontId="2" fillId="0" borderId="27" xfId="2" applyFont="1" applyBorder="1" applyAlignment="1" applyProtection="1">
      <protection hidden="1"/>
    </xf>
    <xf numFmtId="0" fontId="0" fillId="0" borderId="27" xfId="0" applyBorder="1" applyAlignment="1"/>
    <xf numFmtId="0" fontId="34" fillId="0" borderId="1" xfId="2" applyFont="1" applyBorder="1" applyAlignment="1"/>
    <xf numFmtId="0" fontId="1" fillId="0" borderId="14" xfId="2" applyBorder="1" applyAlignment="1"/>
    <xf numFmtId="0" fontId="1" fillId="3" borderId="25" xfId="2" applyFill="1" applyBorder="1" applyAlignment="1"/>
    <xf numFmtId="0" fontId="1" fillId="0" borderId="25" xfId="2" applyBorder="1" applyAlignment="1"/>
    <xf numFmtId="0" fontId="0" fillId="0" borderId="25" xfId="0" applyBorder="1" applyAlignment="1"/>
    <xf numFmtId="0" fontId="0" fillId="0" borderId="0" xfId="0" applyAlignment="1"/>
    <xf numFmtId="0" fontId="15" fillId="0" borderId="0" xfId="2" applyFont="1" applyAlignment="1"/>
    <xf numFmtId="0" fontId="0" fillId="0" borderId="12" xfId="0" applyBorder="1" applyAlignment="1"/>
    <xf numFmtId="0" fontId="0" fillId="0" borderId="13" xfId="0" applyBorder="1" applyAlignment="1"/>
    <xf numFmtId="0" fontId="26" fillId="0" borderId="0" xfId="2" applyFont="1" applyAlignment="1"/>
    <xf numFmtId="0" fontId="27" fillId="0" borderId="0" xfId="2" applyFont="1" applyAlignment="1"/>
    <xf numFmtId="0" fontId="8" fillId="0" borderId="0" xfId="2" applyFont="1" applyAlignment="1"/>
    <xf numFmtId="0" fontId="0" fillId="0" borderId="10" xfId="0" applyBorder="1" applyAlignment="1"/>
    <xf numFmtId="0" fontId="21" fillId="0" borderId="5" xfId="0" applyFont="1" applyBorder="1" applyAlignment="1"/>
    <xf numFmtId="0" fontId="0" fillId="7" borderId="12" xfId="0" applyFill="1" applyBorder="1" applyAlignment="1"/>
    <xf numFmtId="0" fontId="0" fillId="7" borderId="13" xfId="0" applyFill="1" applyBorder="1" applyAlignment="1"/>
    <xf numFmtId="0" fontId="55" fillId="0" borderId="48" xfId="2" applyFont="1" applyBorder="1" applyAlignment="1"/>
    <xf numFmtId="0" fontId="50" fillId="0" borderId="0" xfId="0" applyFont="1" applyAlignment="1"/>
    <xf numFmtId="0" fontId="15" fillId="0" borderId="10" xfId="2" applyFont="1" applyBorder="1" applyAlignment="1"/>
    <xf numFmtId="0" fontId="0" fillId="0" borderId="50" xfId="0" applyBorder="1" applyAlignment="1"/>
    <xf numFmtId="0" fontId="15" fillId="0" borderId="23" xfId="2" applyFont="1" applyBorder="1" applyAlignment="1"/>
    <xf numFmtId="0" fontId="0" fillId="0" borderId="23" xfId="0" applyBorder="1" applyAlignment="1"/>
    <xf numFmtId="0" fontId="0" fillId="0" borderId="51" xfId="0" applyBorder="1" applyAlignment="1"/>
    <xf numFmtId="0" fontId="50" fillId="0" borderId="10" xfId="0" applyFont="1" applyBorder="1" applyAlignment="1"/>
    <xf numFmtId="0" fontId="55" fillId="0" borderId="52" xfId="2" applyFont="1" applyBorder="1" applyAlignment="1"/>
    <xf numFmtId="0" fontId="0" fillId="0" borderId="14" xfId="0" applyBorder="1" applyAlignment="1"/>
  </cellXfs>
  <cellStyles count="7">
    <cellStyle name="Currency" xfId="1" builtinId="4"/>
    <cellStyle name="Currency 2" xfId="3" xr:uid="{00000000-0005-0000-0000-000001000000}"/>
    <cellStyle name="Currency 3" xfId="4" xr:uid="{00000000-0005-0000-0000-000002000000}"/>
    <cellStyle name="Normal" xfId="0" builtinId="0"/>
    <cellStyle name="Normal 2" xfId="5" xr:uid="{00000000-0005-0000-0000-000004000000}"/>
    <cellStyle name="Normal 2 2" xfId="2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mruColors>
      <color rgb="FF4BB246"/>
      <color rgb="FF00B050"/>
      <color rgb="FF84C142"/>
      <color rgb="FF5DB044"/>
      <color rgb="FF128F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881063</xdr:colOff>
      <xdr:row>13</xdr:row>
      <xdr:rowOff>142875</xdr:rowOff>
    </xdr:from>
    <xdr:to>
      <xdr:col>3</xdr:col>
      <xdr:colOff>1643062</xdr:colOff>
      <xdr:row>17</xdr:row>
      <xdr:rowOff>309562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88" y="5524500"/>
          <a:ext cx="3238499" cy="1452562"/>
        </a:xfrm>
        <a:prstGeom prst="rect">
          <a:avLst/>
        </a:prstGeom>
      </xdr:spPr>
    </xdr:pic>
    <xdr:clientData/>
  </xdr:twoCellAnchor>
  <xdr:twoCellAnchor editAs="oneCell">
    <xdr:from>
      <xdr:col>7</xdr:col>
      <xdr:colOff>163829</xdr:colOff>
      <xdr:row>13</xdr:row>
      <xdr:rowOff>171450</xdr:rowOff>
    </xdr:from>
    <xdr:to>
      <xdr:col>8</xdr:col>
      <xdr:colOff>1775596</xdr:colOff>
      <xdr:row>21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31" t="30398" r="11077" b="7548"/>
        <a:stretch/>
      </xdr:blipFill>
      <xdr:spPr>
        <a:xfrm>
          <a:off x="10336529" y="5505450"/>
          <a:ext cx="5021717" cy="3143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13</xdr:row>
      <xdr:rowOff>129872</xdr:rowOff>
    </xdr:from>
    <xdr:to>
      <xdr:col>2</xdr:col>
      <xdr:colOff>19050</xdr:colOff>
      <xdr:row>21</xdr:row>
      <xdr:rowOff>390773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7" t="20424" r="12311" b="12915"/>
        <a:stretch/>
      </xdr:blipFill>
      <xdr:spPr>
        <a:xfrm>
          <a:off x="95250" y="5635322"/>
          <a:ext cx="5067300" cy="3194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178" zoomScale="40" zoomScaleNormal="40" zoomScaleSheetLayoutView="50" workbookViewId="0">
      <selection activeCell="I187" sqref="I187"/>
    </sheetView>
  </sheetViews>
  <sheetFormatPr defaultColWidth="9.140625" defaultRowHeight="13.15"/>
  <cols>
    <col min="1" max="1" width="43" style="2" customWidth="1"/>
    <col min="2" max="2" width="32" style="2" customWidth="1"/>
    <col min="3" max="3" width="37.28515625" style="2" customWidth="1"/>
    <col min="4" max="4" width="36" style="2" customWidth="1"/>
    <col min="5" max="5" width="0.42578125" style="2" hidden="1" customWidth="1"/>
    <col min="6" max="6" width="24.7109375" style="2" hidden="1" customWidth="1"/>
    <col min="7" max="7" width="5.42578125" style="2" hidden="1" customWidth="1"/>
    <col min="8" max="8" width="49.7109375" style="2" customWidth="1"/>
    <col min="9" max="9" width="32" style="2" customWidth="1"/>
    <col min="10" max="10" width="48.5703125" style="2" hidden="1" customWidth="1"/>
    <col min="11" max="11" width="10.5703125" style="2" customWidth="1"/>
    <col min="12" max="12" width="9.140625" style="2" customWidth="1"/>
    <col min="13" max="13" width="0.140625" style="2" customWidth="1"/>
    <col min="14" max="14" width="9.140625" style="2" hidden="1" customWidth="1"/>
    <col min="15" max="16384" width="9.140625" style="2"/>
  </cols>
  <sheetData>
    <row r="1" spans="1:10" ht="34.9">
      <c r="A1" s="259" t="s">
        <v>0</v>
      </c>
      <c r="B1" s="210"/>
      <c r="C1" s="260" t="s">
        <v>1</v>
      </c>
      <c r="D1" s="261"/>
      <c r="E1" s="103"/>
      <c r="F1" s="259" t="s">
        <v>2</v>
      </c>
      <c r="G1" s="210"/>
      <c r="H1" s="259"/>
      <c r="I1" s="259"/>
      <c r="J1" s="1"/>
    </row>
    <row r="2" spans="1:10" ht="32.450000000000003">
      <c r="A2" s="262"/>
      <c r="B2" s="263"/>
      <c r="C2" s="262"/>
      <c r="D2" s="263"/>
      <c r="E2" s="3"/>
      <c r="F2" s="274" t="s">
        <v>3</v>
      </c>
      <c r="G2" s="275"/>
      <c r="H2" s="274" t="s">
        <v>3</v>
      </c>
      <c r="I2" s="275"/>
      <c r="J2" s="1"/>
    </row>
    <row r="3" spans="1:10" ht="32.450000000000003">
      <c r="A3" s="158"/>
      <c r="B3" s="269"/>
      <c r="C3" s="158"/>
      <c r="D3" s="269"/>
      <c r="E3" s="3"/>
      <c r="F3" s="276" t="s">
        <v>4</v>
      </c>
      <c r="G3" s="277"/>
      <c r="H3" s="276" t="s">
        <v>4</v>
      </c>
      <c r="I3" s="277"/>
      <c r="J3" s="1"/>
    </row>
    <row r="4" spans="1:10" ht="32.450000000000003">
      <c r="A4" s="270"/>
      <c r="B4" s="271"/>
      <c r="C4" s="270"/>
      <c r="D4" s="271"/>
      <c r="E4" s="3"/>
      <c r="F4" s="272" t="s">
        <v>5</v>
      </c>
      <c r="G4" s="273"/>
      <c r="H4" s="272" t="s">
        <v>5</v>
      </c>
      <c r="I4" s="273"/>
      <c r="J4" s="1"/>
    </row>
    <row r="5" spans="1:10" ht="33" thickBot="1">
      <c r="A5" s="313"/>
      <c r="B5" s="314"/>
      <c r="C5" s="315"/>
      <c r="D5" s="315"/>
      <c r="E5" s="315"/>
      <c r="F5" s="315"/>
      <c r="G5" s="315"/>
      <c r="H5" s="315"/>
      <c r="I5" s="315"/>
      <c r="J5" s="1"/>
    </row>
    <row r="6" spans="1:10" ht="34.15" thickTop="1" thickBot="1">
      <c r="A6" s="264" t="s">
        <v>6</v>
      </c>
      <c r="B6" s="265"/>
      <c r="C6" s="265"/>
      <c r="D6" s="265"/>
      <c r="E6" s="265"/>
      <c r="F6" s="265"/>
      <c r="G6" s="265"/>
      <c r="H6" s="265"/>
      <c r="I6" s="266"/>
      <c r="J6" s="1"/>
    </row>
    <row r="7" spans="1:10" ht="32.450000000000003" thickTop="1">
      <c r="A7" s="316"/>
      <c r="B7" s="317"/>
      <c r="C7" s="317"/>
      <c r="D7" s="317"/>
      <c r="E7" s="317"/>
      <c r="F7" s="317"/>
      <c r="G7" s="317"/>
      <c r="H7" s="317"/>
      <c r="I7" s="317"/>
      <c r="J7" s="1"/>
    </row>
    <row r="8" spans="1:10" ht="34.9">
      <c r="A8" s="104" t="s">
        <v>7</v>
      </c>
      <c r="B8" s="211">
        <v>2026</v>
      </c>
      <c r="C8" s="318"/>
      <c r="D8" s="105" t="s">
        <v>8</v>
      </c>
      <c r="E8" s="106"/>
      <c r="F8" s="215"/>
      <c r="G8" s="267"/>
      <c r="H8" s="267"/>
      <c r="I8" s="268"/>
      <c r="J8" s="1"/>
    </row>
    <row r="9" spans="1:10" ht="34.9">
      <c r="A9" s="104" t="s">
        <v>9</v>
      </c>
      <c r="B9" s="207"/>
      <c r="C9" s="208"/>
      <c r="D9" s="105" t="s">
        <v>10</v>
      </c>
      <c r="E9" s="107"/>
      <c r="F9" s="209"/>
      <c r="G9" s="210"/>
      <c r="H9" s="211"/>
      <c r="I9" s="211"/>
      <c r="J9" s="6"/>
    </row>
    <row r="10" spans="1:10" ht="34.9">
      <c r="A10" s="104" t="s">
        <v>11</v>
      </c>
      <c r="B10" s="212"/>
      <c r="C10" s="211"/>
      <c r="D10" s="105" t="s">
        <v>12</v>
      </c>
      <c r="E10" s="107"/>
      <c r="F10" s="108"/>
      <c r="G10" s="106"/>
      <c r="H10" s="213"/>
      <c r="I10" s="211"/>
      <c r="J10" s="6"/>
    </row>
    <row r="11" spans="1:10" ht="34.9">
      <c r="A11" s="109" t="s">
        <v>13</v>
      </c>
      <c r="B11" s="214" t="s">
        <v>14</v>
      </c>
      <c r="C11" s="211"/>
      <c r="D11" s="105" t="s">
        <v>15</v>
      </c>
      <c r="E11" s="106"/>
      <c r="F11" s="110"/>
      <c r="G11" s="103"/>
      <c r="H11" s="215"/>
      <c r="I11" s="216"/>
      <c r="J11" s="7"/>
    </row>
    <row r="12" spans="1:10" ht="24" customHeight="1" thickBot="1">
      <c r="A12" s="234"/>
      <c r="B12" s="319"/>
      <c r="C12" s="319"/>
      <c r="D12" s="319"/>
      <c r="E12" s="319"/>
      <c r="F12" s="319"/>
      <c r="G12" s="319"/>
      <c r="H12" s="319"/>
      <c r="I12" s="319"/>
      <c r="J12" s="7"/>
    </row>
    <row r="13" spans="1:10" ht="37.15" customHeight="1" thickTop="1" thickBot="1">
      <c r="A13" s="235" t="s">
        <v>16</v>
      </c>
      <c r="B13" s="236"/>
      <c r="C13" s="236"/>
      <c r="D13" s="236"/>
      <c r="E13" s="236"/>
      <c r="F13" s="236"/>
      <c r="G13" s="236"/>
      <c r="H13" s="236"/>
      <c r="I13" s="237"/>
      <c r="J13" s="7"/>
    </row>
    <row r="14" spans="1:10" ht="33" thickTop="1">
      <c r="A14" s="238"/>
      <c r="B14" s="239"/>
      <c r="C14" s="240"/>
      <c r="D14" s="221"/>
      <c r="E14" s="222"/>
      <c r="F14" s="222"/>
      <c r="G14" s="222"/>
      <c r="H14" s="222"/>
      <c r="I14" s="223"/>
      <c r="J14" s="7"/>
    </row>
    <row r="15" spans="1:10" ht="32.450000000000003">
      <c r="A15" s="224"/>
      <c r="B15" s="179"/>
      <c r="C15" s="179"/>
      <c r="D15" s="218"/>
      <c r="E15" s="225"/>
      <c r="F15" s="225"/>
      <c r="G15" s="225"/>
      <c r="H15" s="225"/>
      <c r="I15" s="226"/>
      <c r="J15" s="8"/>
    </row>
    <row r="16" spans="1:10" ht="32.450000000000003" hidden="1">
      <c r="A16" s="9"/>
      <c r="B16" s="10"/>
      <c r="C16" s="10"/>
      <c r="D16" s="11"/>
      <c r="E16" s="5"/>
      <c r="F16" s="5"/>
      <c r="G16" s="5"/>
      <c r="H16" s="12"/>
      <c r="I16" s="13"/>
      <c r="J16" s="7"/>
    </row>
    <row r="17" spans="1:11" ht="32.450000000000003">
      <c r="A17" s="217"/>
      <c r="B17" s="218"/>
      <c r="C17" s="218"/>
      <c r="D17" s="219"/>
      <c r="E17" s="179"/>
      <c r="F17" s="179"/>
      <c r="G17" s="179"/>
      <c r="H17" s="179"/>
      <c r="I17" s="220"/>
      <c r="J17" s="7"/>
    </row>
    <row r="18" spans="1:11" ht="32.450000000000003">
      <c r="A18" s="217"/>
      <c r="B18" s="218"/>
      <c r="C18" s="218"/>
      <c r="D18" s="227"/>
      <c r="E18" s="227"/>
      <c r="F18" s="227"/>
      <c r="G18" s="227"/>
      <c r="H18" s="227"/>
      <c r="I18" s="228"/>
      <c r="J18" s="7"/>
    </row>
    <row r="19" spans="1:11" ht="32.450000000000003">
      <c r="A19" s="217"/>
      <c r="B19" s="218"/>
      <c r="C19" s="218"/>
      <c r="D19" s="218"/>
      <c r="E19" s="218"/>
      <c r="F19" s="218"/>
      <c r="G19" s="218"/>
      <c r="H19" s="218"/>
      <c r="I19" s="229"/>
      <c r="J19" s="7"/>
    </row>
    <row r="20" spans="1:11" ht="32.450000000000003">
      <c r="A20" s="217"/>
      <c r="B20" s="225"/>
      <c r="C20" s="225"/>
      <c r="D20" s="218"/>
      <c r="E20" s="218"/>
      <c r="F20" s="218"/>
      <c r="G20" s="218"/>
      <c r="H20" s="218"/>
      <c r="I20" s="229"/>
      <c r="J20" s="7"/>
    </row>
    <row r="21" spans="1:11" ht="32.450000000000003">
      <c r="A21" s="217"/>
      <c r="B21" s="225"/>
      <c r="C21" s="225"/>
      <c r="D21" s="218"/>
      <c r="E21" s="218"/>
      <c r="F21" s="218"/>
      <c r="G21" s="218"/>
      <c r="H21" s="218"/>
      <c r="I21" s="229"/>
      <c r="J21" s="7"/>
    </row>
    <row r="22" spans="1:11" ht="33" thickBot="1">
      <c r="A22" s="233"/>
      <c r="B22" s="227"/>
      <c r="C22" s="227"/>
      <c r="D22" s="218"/>
      <c r="E22" s="218"/>
      <c r="F22" s="218"/>
      <c r="G22" s="218"/>
      <c r="H22" s="218"/>
      <c r="I22" s="229"/>
      <c r="J22" s="7"/>
    </row>
    <row r="23" spans="1:11" ht="33.6" customHeight="1">
      <c r="A23" s="168" t="s">
        <v>17</v>
      </c>
      <c r="B23" s="169"/>
      <c r="C23" s="169"/>
      <c r="D23" s="169"/>
      <c r="E23" s="169"/>
      <c r="F23" s="169"/>
      <c r="G23" s="169"/>
      <c r="H23" s="169"/>
      <c r="I23" s="170"/>
      <c r="J23" s="7"/>
    </row>
    <row r="24" spans="1:11" ht="64.900000000000006" customHeight="1">
      <c r="A24" s="251" t="s">
        <v>18</v>
      </c>
      <c r="B24" s="252"/>
      <c r="C24" s="253"/>
      <c r="D24" s="254"/>
      <c r="E24" s="254"/>
      <c r="F24" s="254"/>
      <c r="G24" s="254"/>
      <c r="H24" s="254"/>
      <c r="I24" s="255"/>
      <c r="J24" s="7"/>
      <c r="K24" s="111"/>
    </row>
    <row r="25" spans="1:11" ht="64.900000000000006" customHeight="1" thickBot="1">
      <c r="A25" s="171" t="s">
        <v>19</v>
      </c>
      <c r="B25" s="172"/>
      <c r="C25" s="173"/>
      <c r="D25" s="174" t="s">
        <v>20</v>
      </c>
      <c r="E25" s="175"/>
      <c r="F25" s="175"/>
      <c r="G25" s="175"/>
      <c r="H25" s="176"/>
      <c r="I25" s="177"/>
      <c r="J25" s="7"/>
      <c r="K25" s="111"/>
    </row>
    <row r="26" spans="1:11" ht="31.9" thickBot="1">
      <c r="A26" s="256" t="s">
        <v>21</v>
      </c>
      <c r="B26" s="257"/>
      <c r="C26" s="257"/>
      <c r="D26" s="257"/>
      <c r="E26" s="257"/>
      <c r="F26" s="257"/>
      <c r="G26" s="257"/>
      <c r="H26" s="257"/>
      <c r="I26" s="258"/>
      <c r="J26" s="7"/>
    </row>
    <row r="27" spans="1:11" ht="32.450000000000003">
      <c r="A27" s="180" t="s">
        <v>22</v>
      </c>
      <c r="B27" s="181"/>
      <c r="C27" s="181"/>
      <c r="D27" s="182" t="s">
        <v>23</v>
      </c>
      <c r="E27" s="182"/>
      <c r="F27" s="182"/>
      <c r="G27" s="182"/>
      <c r="H27" s="182"/>
      <c r="I27" s="185"/>
      <c r="J27" s="7"/>
    </row>
    <row r="28" spans="1:11" ht="32.450000000000003">
      <c r="A28" s="180" t="s">
        <v>24</v>
      </c>
      <c r="B28" s="181"/>
      <c r="C28" s="181"/>
      <c r="D28" s="182" t="s">
        <v>25</v>
      </c>
      <c r="E28" s="182"/>
      <c r="F28" s="182"/>
      <c r="G28" s="182"/>
      <c r="H28" s="182"/>
      <c r="I28" s="185"/>
      <c r="J28" s="7"/>
    </row>
    <row r="29" spans="1:11" ht="33">
      <c r="A29" s="180" t="s">
        <v>26</v>
      </c>
      <c r="B29" s="181"/>
      <c r="C29" s="181"/>
      <c r="D29" s="245" t="s">
        <v>27</v>
      </c>
      <c r="E29" s="245"/>
      <c r="F29" s="245"/>
      <c r="G29" s="245"/>
      <c r="H29" s="245"/>
      <c r="I29" s="246"/>
      <c r="J29" s="7"/>
    </row>
    <row r="30" spans="1:11" ht="32.450000000000003">
      <c r="A30" s="180" t="s">
        <v>28</v>
      </c>
      <c r="B30" s="181"/>
      <c r="C30" s="181"/>
      <c r="D30" s="182" t="s">
        <v>29</v>
      </c>
      <c r="E30" s="183"/>
      <c r="F30" s="183"/>
      <c r="G30" s="183"/>
      <c r="H30" s="183"/>
      <c r="I30" s="184"/>
      <c r="J30" s="7"/>
    </row>
    <row r="31" spans="1:11" ht="32.450000000000003">
      <c r="A31" s="180" t="s">
        <v>30</v>
      </c>
      <c r="B31" s="181"/>
      <c r="C31" s="181"/>
      <c r="D31" s="182" t="s">
        <v>31</v>
      </c>
      <c r="E31" s="183"/>
      <c r="F31" s="183"/>
      <c r="G31" s="183"/>
      <c r="H31" s="183"/>
      <c r="I31" s="184"/>
      <c r="J31" s="7"/>
    </row>
    <row r="32" spans="1:11" ht="32.450000000000003" customHeight="1">
      <c r="A32" s="180" t="s">
        <v>32</v>
      </c>
      <c r="B32" s="181"/>
      <c r="C32" s="181"/>
      <c r="D32" s="182" t="s">
        <v>33</v>
      </c>
      <c r="E32" s="182"/>
      <c r="F32" s="182"/>
      <c r="G32" s="182"/>
      <c r="H32" s="182"/>
      <c r="I32" s="185"/>
      <c r="J32" s="7"/>
    </row>
    <row r="33" spans="1:10" ht="33">
      <c r="A33" s="186" t="s">
        <v>34</v>
      </c>
      <c r="B33" s="183"/>
      <c r="C33" s="183"/>
      <c r="D33" s="187" t="s">
        <v>35</v>
      </c>
      <c r="E33" s="187"/>
      <c r="F33" s="187"/>
      <c r="G33" s="187"/>
      <c r="H33" s="187"/>
      <c r="I33" s="188"/>
      <c r="J33" s="7"/>
    </row>
    <row r="34" spans="1:10" ht="32.450000000000003">
      <c r="A34" s="186" t="s">
        <v>36</v>
      </c>
      <c r="B34" s="183"/>
      <c r="C34" s="183"/>
      <c r="D34" s="182" t="s">
        <v>37</v>
      </c>
      <c r="E34" s="182"/>
      <c r="F34" s="182"/>
      <c r="G34" s="182"/>
      <c r="H34" s="182"/>
      <c r="I34" s="185"/>
      <c r="J34" s="7"/>
    </row>
    <row r="35" spans="1:10" ht="33">
      <c r="A35" s="186" t="s">
        <v>38</v>
      </c>
      <c r="B35" s="183"/>
      <c r="C35" s="183"/>
      <c r="D35" s="182" t="s">
        <v>39</v>
      </c>
      <c r="E35" s="182"/>
      <c r="F35" s="182"/>
      <c r="G35" s="182"/>
      <c r="H35" s="182"/>
      <c r="I35" s="185"/>
      <c r="J35" s="7"/>
    </row>
    <row r="36" spans="1:10" ht="33">
      <c r="A36" s="186" t="s">
        <v>40</v>
      </c>
      <c r="B36" s="182"/>
      <c r="C36" s="182"/>
      <c r="D36" s="182" t="s">
        <v>41</v>
      </c>
      <c r="E36" s="182"/>
      <c r="F36" s="182"/>
      <c r="G36" s="182"/>
      <c r="H36" s="182"/>
      <c r="I36" s="185"/>
      <c r="J36" s="7"/>
    </row>
    <row r="37" spans="1:10" ht="33">
      <c r="A37" s="247" t="s">
        <v>42</v>
      </c>
      <c r="B37" s="248"/>
      <c r="C37" s="248"/>
      <c r="D37" s="249" t="s">
        <v>43</v>
      </c>
      <c r="E37" s="249"/>
      <c r="F37" s="249"/>
      <c r="G37" s="249"/>
      <c r="H37" s="249"/>
      <c r="I37" s="250"/>
      <c r="J37" s="7"/>
    </row>
    <row r="38" spans="1:10" ht="16.899999999999999" customHeight="1" thickTop="1" thickBot="1">
      <c r="A38" s="178" t="s">
        <v>44</v>
      </c>
      <c r="B38" s="179"/>
      <c r="C38" s="179"/>
      <c r="D38" s="178" t="s">
        <v>44</v>
      </c>
      <c r="E38" s="179"/>
      <c r="F38" s="179"/>
      <c r="G38" s="179"/>
      <c r="H38" s="179"/>
      <c r="I38" s="179"/>
      <c r="J38" s="14"/>
    </row>
    <row r="39" spans="1:10" ht="40.15" customHeight="1" thickTop="1" thickBot="1">
      <c r="A39" s="189" t="s">
        <v>45</v>
      </c>
      <c r="B39" s="190"/>
      <c r="C39" s="190"/>
      <c r="D39" s="190"/>
      <c r="E39" s="190"/>
      <c r="F39" s="190"/>
      <c r="G39" s="190"/>
      <c r="H39" s="190"/>
      <c r="I39" s="191"/>
      <c r="J39" s="7"/>
    </row>
    <row r="40" spans="1:10" ht="33.6" thickTop="1" thickBot="1">
      <c r="A40" s="198"/>
      <c r="B40" s="315"/>
      <c r="C40" s="315"/>
      <c r="D40" s="315"/>
      <c r="E40" s="15"/>
      <c r="F40" s="16" t="s">
        <v>46</v>
      </c>
      <c r="G40" s="16"/>
      <c r="H40" s="69" t="s">
        <v>47</v>
      </c>
      <c r="I40" s="17"/>
      <c r="J40" s="18" t="s">
        <v>48</v>
      </c>
    </row>
    <row r="41" spans="1:10" ht="37.15" thickBot="1">
      <c r="A41" s="243" t="s">
        <v>49</v>
      </c>
      <c r="B41" s="244"/>
      <c r="C41" s="244"/>
      <c r="D41" s="244"/>
      <c r="E41" s="121"/>
      <c r="F41" s="121"/>
      <c r="G41" s="121"/>
      <c r="H41" s="123">
        <v>1</v>
      </c>
      <c r="I41" s="122"/>
      <c r="J41" s="20"/>
    </row>
    <row r="42" spans="1:10" ht="32.450000000000003">
      <c r="A42" s="230" t="s">
        <v>50</v>
      </c>
      <c r="B42" s="320"/>
      <c r="C42" s="320"/>
      <c r="D42" s="320"/>
      <c r="E42"/>
      <c r="F42"/>
      <c r="G42"/>
      <c r="H42" s="19">
        <v>0</v>
      </c>
      <c r="I42" s="67" t="s">
        <v>51</v>
      </c>
      <c r="J42" s="20"/>
    </row>
    <row r="43" spans="1:10" ht="32.450000000000003">
      <c r="A43" s="158" t="s">
        <v>52</v>
      </c>
      <c r="B43" s="315"/>
      <c r="C43" s="315"/>
      <c r="D43" s="315"/>
      <c r="E43" s="15" t="s">
        <v>53</v>
      </c>
      <c r="F43" s="5">
        <v>2970</v>
      </c>
      <c r="G43" s="5" t="e">
        <f>IF(#REF!="","C","")</f>
        <v>#REF!</v>
      </c>
      <c r="H43" s="19">
        <v>1</v>
      </c>
      <c r="I43" s="67" t="s">
        <v>51</v>
      </c>
      <c r="J43" s="66">
        <v>0</v>
      </c>
    </row>
    <row r="44" spans="1:10" ht="33" thickBot="1">
      <c r="A44" s="158" t="s">
        <v>54</v>
      </c>
      <c r="B44" s="315"/>
      <c r="C44" s="315"/>
      <c r="D44" s="315"/>
      <c r="E44" s="15"/>
      <c r="F44" s="5"/>
      <c r="G44" s="5"/>
      <c r="H44" s="19">
        <v>0</v>
      </c>
      <c r="I44" s="67" t="s">
        <v>51</v>
      </c>
      <c r="J44" s="66"/>
    </row>
    <row r="45" spans="1:10" ht="35.450000000000003" thickBot="1">
      <c r="A45" s="153" t="s">
        <v>55</v>
      </c>
      <c r="B45" s="196"/>
      <c r="C45" s="196"/>
      <c r="D45" s="196"/>
      <c r="E45" s="121"/>
      <c r="F45" s="121"/>
      <c r="G45" s="121"/>
      <c r="H45" s="123">
        <v>0</v>
      </c>
      <c r="I45" s="122"/>
      <c r="J45" s="21"/>
    </row>
    <row r="46" spans="1:10" ht="33" thickBot="1">
      <c r="A46" s="231"/>
      <c r="B46" s="232"/>
      <c r="C46" s="232"/>
      <c r="D46" s="232"/>
      <c r="E46" s="15"/>
      <c r="F46" s="134"/>
      <c r="G46" s="5"/>
      <c r="H46" s="19">
        <v>0</v>
      </c>
      <c r="I46" s="67" t="s">
        <v>51</v>
      </c>
      <c r="J46" s="21"/>
    </row>
    <row r="47" spans="1:10" ht="35.450000000000003" thickBot="1">
      <c r="A47" s="241" t="s">
        <v>56</v>
      </c>
      <c r="B47" s="242"/>
      <c r="C47" s="242"/>
      <c r="D47" s="242"/>
      <c r="E47" s="121"/>
      <c r="F47" s="121"/>
      <c r="G47" s="121"/>
      <c r="H47" s="123">
        <v>1</v>
      </c>
      <c r="I47" s="122"/>
      <c r="J47" s="21"/>
    </row>
    <row r="48" spans="1:10" ht="32.450000000000003">
      <c r="A48" s="148" t="s">
        <v>57</v>
      </c>
      <c r="B48" s="149"/>
      <c r="C48" s="149"/>
      <c r="D48" s="149"/>
      <c r="E48" s="135" t="s">
        <v>58</v>
      </c>
      <c r="F48" s="5" t="s">
        <v>59</v>
      </c>
      <c r="G48" s="5"/>
      <c r="H48" s="5">
        <v>1</v>
      </c>
      <c r="I48" s="67" t="s">
        <v>51</v>
      </c>
      <c r="J48" s="21"/>
    </row>
    <row r="49" spans="1:10" ht="32.450000000000003">
      <c r="A49" s="148" t="s">
        <v>60</v>
      </c>
      <c r="B49" s="149"/>
      <c r="C49" s="149"/>
      <c r="D49" s="149"/>
      <c r="E49" s="135"/>
      <c r="F49" s="5"/>
      <c r="G49" s="5"/>
      <c r="H49" s="5">
        <v>1</v>
      </c>
      <c r="I49" s="67" t="s">
        <v>51</v>
      </c>
      <c r="J49" s="21"/>
    </row>
    <row r="50" spans="1:10" ht="32.450000000000003">
      <c r="A50" s="148" t="s">
        <v>61</v>
      </c>
      <c r="B50" s="149"/>
      <c r="C50" s="149"/>
      <c r="D50" s="149"/>
      <c r="E50" s="135"/>
      <c r="F50" s="5"/>
      <c r="G50" s="5"/>
      <c r="H50" s="5">
        <v>0</v>
      </c>
      <c r="I50" s="67" t="s">
        <v>51</v>
      </c>
      <c r="J50" s="21"/>
    </row>
    <row r="51" spans="1:10" ht="33" thickBot="1">
      <c r="A51" s="148" t="s">
        <v>62</v>
      </c>
      <c r="B51" s="149"/>
      <c r="C51" s="149"/>
      <c r="D51" s="149"/>
      <c r="E51" s="135" t="s">
        <v>58</v>
      </c>
      <c r="F51" s="5" t="s">
        <v>59</v>
      </c>
      <c r="G51" s="5"/>
      <c r="H51" s="5">
        <v>0</v>
      </c>
      <c r="I51" s="67" t="s">
        <v>51</v>
      </c>
      <c r="J51" s="21"/>
    </row>
    <row r="52" spans="1:10" ht="35.450000000000003" thickBot="1">
      <c r="A52" s="153" t="s">
        <v>63</v>
      </c>
      <c r="B52" s="196"/>
      <c r="C52" s="196"/>
      <c r="D52" s="196"/>
      <c r="E52" s="121"/>
      <c r="F52" s="121"/>
      <c r="G52" s="121"/>
      <c r="H52" s="123">
        <v>1</v>
      </c>
      <c r="I52" s="122"/>
      <c r="J52" s="1"/>
    </row>
    <row r="53" spans="1:10" ht="32.450000000000003">
      <c r="A53" s="166" t="s">
        <v>64</v>
      </c>
      <c r="B53" s="321"/>
      <c r="C53" s="321"/>
      <c r="D53" s="322"/>
      <c r="E53" s="135" t="s">
        <v>58</v>
      </c>
      <c r="F53" s="5">
        <v>2248</v>
      </c>
      <c r="G53" s="5"/>
      <c r="H53" s="19">
        <v>1</v>
      </c>
      <c r="I53" s="67" t="s">
        <v>51</v>
      </c>
      <c r="J53" s="66">
        <v>0</v>
      </c>
    </row>
    <row r="54" spans="1:10" ht="32.450000000000003">
      <c r="A54" s="148" t="s">
        <v>65</v>
      </c>
      <c r="B54" s="149"/>
      <c r="C54" s="149"/>
      <c r="D54" s="149"/>
      <c r="E54" s="135"/>
      <c r="F54" s="5"/>
      <c r="G54" s="5"/>
      <c r="H54" s="19">
        <v>1</v>
      </c>
      <c r="I54" s="67" t="s">
        <v>51</v>
      </c>
      <c r="J54" s="66"/>
    </row>
    <row r="55" spans="1:10" ht="32.450000000000003">
      <c r="A55" s="158" t="s">
        <v>66</v>
      </c>
      <c r="B55" s="197"/>
      <c r="C55" s="323"/>
      <c r="D55" s="323"/>
      <c r="E55" s="135" t="s">
        <v>58</v>
      </c>
      <c r="F55" s="5">
        <v>2824</v>
      </c>
      <c r="G55" s="5"/>
      <c r="H55" s="19">
        <v>0</v>
      </c>
      <c r="I55" s="67" t="s">
        <v>51</v>
      </c>
      <c r="J55" s="66">
        <v>0</v>
      </c>
    </row>
    <row r="56" spans="1:10" ht="32.450000000000003">
      <c r="A56" s="158" t="s">
        <v>67</v>
      </c>
      <c r="B56" s="159"/>
      <c r="C56" s="323"/>
      <c r="D56" s="323"/>
      <c r="E56" s="135" t="s">
        <v>58</v>
      </c>
      <c r="F56" s="5">
        <v>2175</v>
      </c>
      <c r="G56" s="5"/>
      <c r="H56" s="19">
        <v>0</v>
      </c>
      <c r="I56" s="67" t="s">
        <v>51</v>
      </c>
      <c r="J56" s="66">
        <v>0</v>
      </c>
    </row>
    <row r="57" spans="1:10" ht="33" thickBot="1">
      <c r="A57" s="158" t="s">
        <v>68</v>
      </c>
      <c r="B57" s="159"/>
      <c r="C57" s="323"/>
      <c r="D57" s="323"/>
      <c r="E57" s="135"/>
      <c r="F57" s="5"/>
      <c r="G57" s="5"/>
      <c r="H57" s="19">
        <v>0</v>
      </c>
      <c r="I57" s="67" t="s">
        <v>51</v>
      </c>
      <c r="J57" s="21"/>
    </row>
    <row r="58" spans="1:10" ht="35.450000000000003" thickBot="1">
      <c r="A58" s="153" t="s">
        <v>69</v>
      </c>
      <c r="B58" s="196"/>
      <c r="C58" s="196"/>
      <c r="D58" s="196"/>
      <c r="E58" s="121"/>
      <c r="F58" s="121"/>
      <c r="G58" s="121"/>
      <c r="H58" s="123">
        <v>0</v>
      </c>
      <c r="I58" s="122"/>
      <c r="J58" s="1"/>
    </row>
    <row r="59" spans="1:10" ht="32.450000000000003">
      <c r="A59" s="158" t="s">
        <v>70</v>
      </c>
      <c r="B59" s="315"/>
      <c r="C59" s="315"/>
      <c r="D59" s="323"/>
      <c r="E59" s="15"/>
      <c r="F59" s="5"/>
      <c r="G59" s="5"/>
      <c r="H59" s="136">
        <v>0</v>
      </c>
      <c r="I59" s="68" t="s">
        <v>51</v>
      </c>
      <c r="J59" s="1"/>
    </row>
    <row r="60" spans="1:10" ht="33" thickBot="1">
      <c r="A60" s="158" t="s">
        <v>71</v>
      </c>
      <c r="B60" s="315"/>
      <c r="C60" s="315"/>
      <c r="D60" s="323"/>
      <c r="E60" s="135" t="s">
        <v>58</v>
      </c>
      <c r="F60" s="5">
        <v>2235</v>
      </c>
      <c r="G60" s="5"/>
      <c r="H60" s="25">
        <v>0</v>
      </c>
      <c r="I60" s="67" t="s">
        <v>51</v>
      </c>
      <c r="J60" s="66">
        <v>0</v>
      </c>
    </row>
    <row r="61" spans="1:10" ht="35.450000000000003" thickBot="1">
      <c r="A61" s="153" t="s">
        <v>72</v>
      </c>
      <c r="B61" s="196"/>
      <c r="C61" s="196"/>
      <c r="D61" s="196"/>
      <c r="E61" s="121"/>
      <c r="F61" s="121"/>
      <c r="G61" s="121"/>
      <c r="H61" s="123">
        <v>1</v>
      </c>
      <c r="I61" s="122"/>
      <c r="J61" s="24"/>
    </row>
    <row r="62" spans="1:10" ht="32.450000000000003">
      <c r="A62" s="148" t="s">
        <v>73</v>
      </c>
      <c r="B62" s="149"/>
      <c r="C62" s="149"/>
      <c r="D62" s="149"/>
      <c r="E62"/>
      <c r="F62"/>
      <c r="G62"/>
      <c r="H62" s="19">
        <v>1</v>
      </c>
      <c r="I62" s="67" t="s">
        <v>51</v>
      </c>
      <c r="J62" s="24"/>
    </row>
    <row r="63" spans="1:10" ht="32.450000000000003">
      <c r="A63" s="148" t="s">
        <v>23</v>
      </c>
      <c r="B63" s="149"/>
      <c r="C63" s="149"/>
      <c r="D63" s="149"/>
      <c r="E63"/>
      <c r="F63"/>
      <c r="G63"/>
      <c r="H63" s="19">
        <v>1</v>
      </c>
      <c r="I63" s="67" t="s">
        <v>51</v>
      </c>
      <c r="J63" s="24"/>
    </row>
    <row r="64" spans="1:10" ht="32.450000000000003">
      <c r="A64" s="148" t="s">
        <v>74</v>
      </c>
      <c r="B64" s="149"/>
      <c r="C64" s="149"/>
      <c r="D64" s="149"/>
      <c r="E64"/>
      <c r="F64"/>
      <c r="G64"/>
      <c r="H64" s="19">
        <v>1</v>
      </c>
      <c r="I64" s="67" t="s">
        <v>51</v>
      </c>
      <c r="J64" s="24"/>
    </row>
    <row r="65" spans="1:10" ht="32.450000000000003">
      <c r="A65" s="148" t="s">
        <v>75</v>
      </c>
      <c r="B65" s="149"/>
      <c r="C65" s="149"/>
      <c r="D65" s="149"/>
      <c r="E65"/>
      <c r="F65"/>
      <c r="G65"/>
      <c r="H65" s="19">
        <v>1</v>
      </c>
      <c r="I65" s="67" t="s">
        <v>51</v>
      </c>
      <c r="J65" s="24"/>
    </row>
    <row r="66" spans="1:10" ht="32.450000000000003">
      <c r="A66" s="148" t="s">
        <v>76</v>
      </c>
      <c r="B66" s="149"/>
      <c r="C66" s="149"/>
      <c r="D66" s="149"/>
      <c r="E66"/>
      <c r="F66"/>
      <c r="G66"/>
      <c r="H66" s="19">
        <v>1</v>
      </c>
      <c r="I66" s="67" t="s">
        <v>51</v>
      </c>
      <c r="J66" s="24"/>
    </row>
    <row r="67" spans="1:10" ht="32.450000000000003">
      <c r="A67" s="148" t="s">
        <v>77</v>
      </c>
      <c r="B67" s="149"/>
      <c r="C67" s="149"/>
      <c r="D67" s="149"/>
      <c r="E67"/>
      <c r="F67"/>
      <c r="G67"/>
      <c r="H67" s="19">
        <v>1</v>
      </c>
      <c r="I67" s="67" t="s">
        <v>51</v>
      </c>
      <c r="J67" s="24"/>
    </row>
    <row r="68" spans="1:10" ht="32.450000000000003">
      <c r="A68" s="148" t="s">
        <v>78</v>
      </c>
      <c r="B68" s="149"/>
      <c r="C68" s="149"/>
      <c r="D68" s="149"/>
      <c r="E68"/>
      <c r="F68"/>
      <c r="G68"/>
      <c r="H68" s="19">
        <v>1</v>
      </c>
      <c r="I68" s="67" t="s">
        <v>51</v>
      </c>
      <c r="J68" s="24"/>
    </row>
    <row r="69" spans="1:10" ht="32.450000000000003">
      <c r="A69" s="148" t="s">
        <v>79</v>
      </c>
      <c r="B69" s="149"/>
      <c r="C69" s="149"/>
      <c r="D69" s="149"/>
      <c r="E69" s="135" t="s">
        <v>58</v>
      </c>
      <c r="F69" s="5">
        <v>2446</v>
      </c>
      <c r="G69" s="5"/>
      <c r="H69" s="25">
        <v>1</v>
      </c>
      <c r="I69" s="67" t="s">
        <v>51</v>
      </c>
      <c r="J69" s="66" t="e">
        <v>#REF!</v>
      </c>
    </row>
    <row r="70" spans="1:10" ht="32.450000000000003">
      <c r="A70" s="148" t="s">
        <v>80</v>
      </c>
      <c r="B70" s="149"/>
      <c r="C70" s="149"/>
      <c r="D70" s="149"/>
      <c r="E70" s="135" t="s">
        <v>58</v>
      </c>
      <c r="F70" s="5">
        <v>2623</v>
      </c>
      <c r="G70" s="5"/>
      <c r="H70" s="25">
        <v>1</v>
      </c>
      <c r="I70" s="67" t="s">
        <v>51</v>
      </c>
      <c r="J70" s="66">
        <v>0</v>
      </c>
    </row>
    <row r="71" spans="1:10" ht="32.450000000000003">
      <c r="A71" s="148" t="s">
        <v>81</v>
      </c>
      <c r="B71" s="149"/>
      <c r="C71" s="149"/>
      <c r="D71" s="149"/>
      <c r="E71" s="135" t="s">
        <v>58</v>
      </c>
      <c r="F71" s="5">
        <v>2668</v>
      </c>
      <c r="G71" s="5"/>
      <c r="H71" s="25">
        <v>0</v>
      </c>
      <c r="I71" s="67" t="s">
        <v>51</v>
      </c>
      <c r="J71" s="66">
        <v>0</v>
      </c>
    </row>
    <row r="72" spans="1:10" ht="33" thickBot="1">
      <c r="A72" s="148" t="s">
        <v>82</v>
      </c>
      <c r="B72" s="149"/>
      <c r="C72" s="149"/>
      <c r="D72" s="149"/>
      <c r="E72" s="135" t="s">
        <v>58</v>
      </c>
      <c r="F72" s="5">
        <v>2116</v>
      </c>
      <c r="G72" s="5"/>
      <c r="H72" s="25">
        <v>0</v>
      </c>
      <c r="I72" s="67" t="s">
        <v>51</v>
      </c>
      <c r="J72" s="66">
        <v>0</v>
      </c>
    </row>
    <row r="73" spans="1:10" ht="36" thickBot="1">
      <c r="A73" s="153" t="s">
        <v>83</v>
      </c>
      <c r="B73" s="154"/>
      <c r="C73" s="154"/>
      <c r="D73" s="154"/>
      <c r="E73" s="124"/>
      <c r="F73" s="125"/>
      <c r="G73" s="125"/>
      <c r="H73" s="127">
        <v>1</v>
      </c>
      <c r="I73" s="126"/>
      <c r="J73" s="21"/>
    </row>
    <row r="74" spans="1:10" ht="32.450000000000003">
      <c r="A74" s="205" t="s">
        <v>84</v>
      </c>
      <c r="B74" s="206"/>
      <c r="C74" s="206"/>
      <c r="D74" s="206"/>
      <c r="E74" s="15"/>
      <c r="F74" s="5"/>
      <c r="G74" s="5"/>
      <c r="H74" s="136">
        <v>1</v>
      </c>
      <c r="I74" s="67" t="s">
        <v>51</v>
      </c>
      <c r="J74" s="21">
        <v>3520</v>
      </c>
    </row>
    <row r="75" spans="1:10" ht="33" thickBot="1">
      <c r="A75" s="164" t="s">
        <v>85</v>
      </c>
      <c r="B75" s="165"/>
      <c r="C75" s="165"/>
      <c r="D75" s="165"/>
      <c r="E75" s="15"/>
      <c r="F75" s="5"/>
      <c r="G75" s="5"/>
      <c r="H75" s="136">
        <v>0</v>
      </c>
      <c r="I75" s="92" t="s">
        <v>51</v>
      </c>
      <c r="J75" s="21"/>
    </row>
    <row r="76" spans="1:10" ht="36" thickBot="1">
      <c r="A76" s="203" t="s">
        <v>86</v>
      </c>
      <c r="B76" s="204"/>
      <c r="C76" s="204"/>
      <c r="D76" s="204"/>
      <c r="E76" s="124"/>
      <c r="F76" s="125"/>
      <c r="G76" s="125"/>
      <c r="H76" s="129">
        <v>1</v>
      </c>
      <c r="I76" s="128"/>
      <c r="J76" s="27"/>
    </row>
    <row r="77" spans="1:10" ht="32.450000000000003">
      <c r="A77" s="199" t="s">
        <v>87</v>
      </c>
      <c r="B77" s="200"/>
      <c r="C77" s="200"/>
      <c r="D77" s="200"/>
      <c r="E77" s="135" t="s">
        <v>58</v>
      </c>
      <c r="F77" s="5">
        <v>2044</v>
      </c>
      <c r="G77" s="5"/>
      <c r="H77" s="192">
        <v>1</v>
      </c>
      <c r="I77" s="194" t="s">
        <v>51</v>
      </c>
      <c r="J77" s="66">
        <v>0</v>
      </c>
    </row>
    <row r="78" spans="1:10" ht="33" thickBot="1">
      <c r="A78" s="201"/>
      <c r="B78" s="202"/>
      <c r="C78" s="202"/>
      <c r="D78" s="202"/>
      <c r="E78" s="135" t="s">
        <v>58</v>
      </c>
      <c r="F78" s="5">
        <v>2627</v>
      </c>
      <c r="G78" s="5"/>
      <c r="H78" s="193"/>
      <c r="I78" s="195"/>
      <c r="J78" s="66">
        <v>0</v>
      </c>
    </row>
    <row r="79" spans="1:10" ht="36" thickBot="1">
      <c r="A79" s="153" t="s">
        <v>88</v>
      </c>
      <c r="B79" s="154"/>
      <c r="C79" s="154"/>
      <c r="D79" s="154"/>
      <c r="E79" s="124"/>
      <c r="F79" s="125"/>
      <c r="G79" s="125"/>
      <c r="H79" s="129">
        <v>0</v>
      </c>
      <c r="I79" s="128"/>
      <c r="J79" s="24"/>
    </row>
    <row r="80" spans="1:10" ht="33" thickBot="1">
      <c r="A80" s="148" t="s">
        <v>89</v>
      </c>
      <c r="B80" s="149"/>
      <c r="C80" s="149"/>
      <c r="D80" s="149"/>
      <c r="E80" s="135" t="s">
        <v>58</v>
      </c>
      <c r="F80" s="5">
        <v>2385</v>
      </c>
      <c r="G80" s="5"/>
      <c r="H80" s="25">
        <v>0</v>
      </c>
      <c r="I80" s="67" t="s">
        <v>51</v>
      </c>
      <c r="J80" s="66">
        <v>0</v>
      </c>
    </row>
    <row r="81" spans="1:10" ht="36" thickBot="1">
      <c r="A81" s="153" t="s">
        <v>90</v>
      </c>
      <c r="B81" s="154"/>
      <c r="C81" s="154"/>
      <c r="D81" s="154"/>
      <c r="E81" s="124"/>
      <c r="F81" s="125"/>
      <c r="G81" s="125"/>
      <c r="H81" s="129">
        <v>0</v>
      </c>
      <c r="I81" s="128"/>
      <c r="J81" s="24"/>
    </row>
    <row r="82" spans="1:10" ht="32.450000000000003">
      <c r="A82" s="148" t="s">
        <v>91</v>
      </c>
      <c r="B82" s="149"/>
      <c r="C82" s="149"/>
      <c r="D82" s="149"/>
      <c r="E82" s="135" t="s">
        <v>58</v>
      </c>
      <c r="F82" s="5">
        <v>2033</v>
      </c>
      <c r="G82" s="5"/>
      <c r="H82" s="25">
        <v>0</v>
      </c>
      <c r="I82" s="67" t="s">
        <v>51</v>
      </c>
      <c r="J82" s="66">
        <v>0</v>
      </c>
    </row>
    <row r="83" spans="1:10" ht="33" thickBot="1">
      <c r="A83" s="148" t="s">
        <v>92</v>
      </c>
      <c r="B83" s="149"/>
      <c r="C83" s="149"/>
      <c r="D83" s="149"/>
      <c r="E83" s="135"/>
      <c r="F83" s="5"/>
      <c r="G83" s="5"/>
      <c r="H83" s="25">
        <v>0</v>
      </c>
      <c r="I83" s="67" t="s">
        <v>51</v>
      </c>
      <c r="J83" s="24"/>
    </row>
    <row r="84" spans="1:10" ht="36" thickBot="1">
      <c r="A84" s="153" t="s">
        <v>93</v>
      </c>
      <c r="B84" s="154"/>
      <c r="C84" s="154"/>
      <c r="D84" s="154"/>
      <c r="E84" s="124"/>
      <c r="F84" s="125"/>
      <c r="G84" s="125"/>
      <c r="H84" s="130">
        <v>1</v>
      </c>
      <c r="I84" s="128"/>
      <c r="J84" s="24"/>
    </row>
    <row r="85" spans="1:10" ht="32.450000000000003">
      <c r="A85" s="148" t="s">
        <v>94</v>
      </c>
      <c r="B85" s="149"/>
      <c r="C85" s="149"/>
      <c r="D85" s="149"/>
      <c r="E85" s="135" t="s">
        <v>58</v>
      </c>
      <c r="F85" s="5">
        <v>2802</v>
      </c>
      <c r="G85" s="5"/>
      <c r="H85" s="25">
        <v>1</v>
      </c>
      <c r="I85" s="67" t="s">
        <v>51</v>
      </c>
      <c r="J85" s="66">
        <v>0</v>
      </c>
    </row>
    <row r="86" spans="1:10" ht="33" thickBot="1">
      <c r="A86" s="158" t="s">
        <v>95</v>
      </c>
      <c r="B86" s="315"/>
      <c r="C86" s="315"/>
      <c r="D86" s="315"/>
      <c r="E86" s="135" t="s">
        <v>58</v>
      </c>
      <c r="F86" s="5">
        <v>2427</v>
      </c>
      <c r="G86" s="5"/>
      <c r="H86" s="25">
        <v>0</v>
      </c>
      <c r="I86" s="67" t="s">
        <v>51</v>
      </c>
      <c r="J86" s="66">
        <v>0</v>
      </c>
    </row>
    <row r="87" spans="1:10" ht="36" thickBot="1">
      <c r="A87" s="153" t="s">
        <v>96</v>
      </c>
      <c r="B87" s="154"/>
      <c r="C87" s="154"/>
      <c r="D87" s="154"/>
      <c r="E87" s="124"/>
      <c r="F87" s="125"/>
      <c r="G87" s="125"/>
      <c r="H87" s="129">
        <v>1</v>
      </c>
      <c r="I87" s="128"/>
      <c r="J87" s="24"/>
    </row>
    <row r="88" spans="1:10" ht="32.450000000000003">
      <c r="A88" s="166" t="s">
        <v>97</v>
      </c>
      <c r="B88" s="167"/>
      <c r="C88" s="167"/>
      <c r="D88" s="167"/>
      <c r="E88" s="15"/>
      <c r="F88" s="5"/>
      <c r="G88" s="5"/>
      <c r="H88" s="136">
        <v>1</v>
      </c>
      <c r="I88" s="89" t="s">
        <v>51</v>
      </c>
      <c r="J88" s="24"/>
    </row>
    <row r="89" spans="1:10" ht="33" thickBot="1">
      <c r="A89" s="148" t="s">
        <v>98</v>
      </c>
      <c r="B89" s="149"/>
      <c r="C89" s="149"/>
      <c r="D89" s="149"/>
      <c r="E89" s="135" t="s">
        <v>58</v>
      </c>
      <c r="F89" s="5">
        <v>2262</v>
      </c>
      <c r="G89" s="5"/>
      <c r="H89" s="25">
        <v>0</v>
      </c>
      <c r="I89" s="67" t="s">
        <v>51</v>
      </c>
      <c r="J89" s="66">
        <v>0</v>
      </c>
    </row>
    <row r="90" spans="1:10" ht="36" thickBot="1">
      <c r="A90" s="153" t="s">
        <v>99</v>
      </c>
      <c r="B90" s="154"/>
      <c r="C90" s="154"/>
      <c r="D90" s="154"/>
      <c r="E90" s="124"/>
      <c r="F90" s="125"/>
      <c r="G90" s="125"/>
      <c r="H90" s="129">
        <v>1</v>
      </c>
      <c r="I90" s="128"/>
      <c r="J90" s="24"/>
    </row>
    <row r="91" spans="1:10" ht="32.450000000000003">
      <c r="A91" s="148" t="s">
        <v>100</v>
      </c>
      <c r="B91" s="149"/>
      <c r="C91" s="149"/>
      <c r="D91" s="149"/>
      <c r="E91" s="135" t="s">
        <v>58</v>
      </c>
      <c r="F91" s="5">
        <v>2158</v>
      </c>
      <c r="G91" s="5"/>
      <c r="H91" s="25">
        <v>1</v>
      </c>
      <c r="I91" s="67" t="s">
        <v>51</v>
      </c>
      <c r="J91" s="66">
        <v>0</v>
      </c>
    </row>
    <row r="92" spans="1:10" ht="32.450000000000003">
      <c r="A92" s="148" t="s">
        <v>101</v>
      </c>
      <c r="B92" s="149"/>
      <c r="C92" s="149"/>
      <c r="D92" s="149"/>
      <c r="E92" s="135" t="s">
        <v>58</v>
      </c>
      <c r="F92" s="5">
        <v>2388</v>
      </c>
      <c r="G92" s="5"/>
      <c r="H92" s="25">
        <v>0</v>
      </c>
      <c r="I92" s="67" t="s">
        <v>51</v>
      </c>
      <c r="J92" s="66">
        <v>0</v>
      </c>
    </row>
    <row r="93" spans="1:10" ht="32.450000000000003">
      <c r="A93" s="278" t="s">
        <v>102</v>
      </c>
      <c r="B93" s="279"/>
      <c r="C93" s="279"/>
      <c r="D93" s="279"/>
      <c r="E93" s="135" t="s">
        <v>58</v>
      </c>
      <c r="F93" s="5">
        <v>2132</v>
      </c>
      <c r="G93" s="5"/>
      <c r="H93" s="25">
        <v>0</v>
      </c>
      <c r="I93" s="67" t="s">
        <v>51</v>
      </c>
      <c r="J93" s="66">
        <v>0</v>
      </c>
    </row>
    <row r="94" spans="1:10" ht="33" thickBot="1">
      <c r="A94" s="148" t="s">
        <v>103</v>
      </c>
      <c r="B94" s="149"/>
      <c r="C94" s="149"/>
      <c r="D94" s="149"/>
      <c r="E94" s="135" t="s">
        <v>58</v>
      </c>
      <c r="F94" s="5">
        <v>2556</v>
      </c>
      <c r="G94" s="5"/>
      <c r="H94" s="25">
        <v>0</v>
      </c>
      <c r="I94" s="67" t="s">
        <v>51</v>
      </c>
      <c r="J94" s="66">
        <v>0</v>
      </c>
    </row>
    <row r="95" spans="1:10" ht="36" thickBot="1">
      <c r="A95" s="153" t="s">
        <v>104</v>
      </c>
      <c r="B95" s="154"/>
      <c r="C95" s="154"/>
      <c r="D95" s="154"/>
      <c r="E95" s="124"/>
      <c r="F95" s="125"/>
      <c r="G95" s="125"/>
      <c r="H95" s="129">
        <v>1</v>
      </c>
      <c r="I95" s="128"/>
      <c r="J95" s="21"/>
    </row>
    <row r="96" spans="1:10" ht="32.450000000000003">
      <c r="A96" s="148" t="s">
        <v>105</v>
      </c>
      <c r="B96" s="149"/>
      <c r="C96" s="149"/>
      <c r="D96" s="149"/>
      <c r="E96" s="135" t="s">
        <v>58</v>
      </c>
      <c r="F96" s="5">
        <v>2887</v>
      </c>
      <c r="G96" s="5"/>
      <c r="H96" s="25">
        <v>1</v>
      </c>
      <c r="I96" s="67" t="s">
        <v>51</v>
      </c>
      <c r="J96" s="66" t="e">
        <v>#REF!</v>
      </c>
    </row>
    <row r="97" spans="1:10" ht="32.450000000000003">
      <c r="A97" s="148" t="s">
        <v>106</v>
      </c>
      <c r="B97" s="149"/>
      <c r="C97" s="149"/>
      <c r="D97" s="149"/>
      <c r="E97" s="135" t="s">
        <v>58</v>
      </c>
      <c r="F97" s="5">
        <v>2056</v>
      </c>
      <c r="G97" s="5"/>
      <c r="H97" s="25">
        <v>0</v>
      </c>
      <c r="I97" s="67" t="s">
        <v>51</v>
      </c>
      <c r="J97" s="66" t="e">
        <v>#REF!</v>
      </c>
    </row>
    <row r="98" spans="1:10" ht="32.450000000000003">
      <c r="A98" s="148" t="s">
        <v>107</v>
      </c>
      <c r="B98" s="149"/>
      <c r="C98" s="149"/>
      <c r="D98" s="149"/>
      <c r="E98" s="135" t="s">
        <v>58</v>
      </c>
      <c r="F98" s="5">
        <v>2241</v>
      </c>
      <c r="G98" s="5"/>
      <c r="H98" s="25">
        <v>0</v>
      </c>
      <c r="I98" s="67" t="s">
        <v>51</v>
      </c>
      <c r="J98" s="66" t="e">
        <v>#REF!</v>
      </c>
    </row>
    <row r="99" spans="1:10" ht="32.450000000000003">
      <c r="A99" s="148" t="s">
        <v>108</v>
      </c>
      <c r="B99" s="149"/>
      <c r="C99" s="149"/>
      <c r="D99" s="149"/>
      <c r="E99" s="135" t="s">
        <v>58</v>
      </c>
      <c r="F99" s="5">
        <v>2876</v>
      </c>
      <c r="G99" s="5"/>
      <c r="H99" s="25">
        <v>0</v>
      </c>
      <c r="I99" s="67" t="s">
        <v>51</v>
      </c>
      <c r="J99" s="66">
        <v>0</v>
      </c>
    </row>
    <row r="100" spans="1:10" ht="30.6">
      <c r="A100" s="280" t="s">
        <v>109</v>
      </c>
      <c r="B100" s="281"/>
      <c r="C100" s="281"/>
      <c r="D100" s="281"/>
      <c r="E100" s="137"/>
      <c r="F100" s="138"/>
      <c r="G100" s="138"/>
      <c r="H100" s="113">
        <v>0</v>
      </c>
      <c r="I100" s="114" t="s">
        <v>51</v>
      </c>
      <c r="J100" s="66"/>
    </row>
    <row r="101" spans="1:10" ht="33" thickBot="1">
      <c r="A101" s="148" t="s">
        <v>110</v>
      </c>
      <c r="B101" s="149"/>
      <c r="C101" s="149"/>
      <c r="D101" s="149"/>
      <c r="E101" s="135" t="s">
        <v>58</v>
      </c>
      <c r="F101" s="5">
        <v>2133</v>
      </c>
      <c r="G101" s="5"/>
      <c r="H101" s="25">
        <v>0</v>
      </c>
      <c r="I101" s="67" t="s">
        <v>51</v>
      </c>
      <c r="J101" s="66">
        <v>0</v>
      </c>
    </row>
    <row r="102" spans="1:10" ht="36" thickBot="1">
      <c r="A102" s="153" t="s">
        <v>111</v>
      </c>
      <c r="B102" s="154"/>
      <c r="C102" s="154"/>
      <c r="D102" s="154"/>
      <c r="E102" s="124"/>
      <c r="F102" s="125"/>
      <c r="G102" s="125"/>
      <c r="H102" s="129">
        <v>0</v>
      </c>
      <c r="I102" s="128"/>
      <c r="J102" s="24"/>
    </row>
    <row r="103" spans="1:10" ht="32.450000000000003">
      <c r="A103" s="148" t="s">
        <v>112</v>
      </c>
      <c r="B103" s="149"/>
      <c r="C103" s="149"/>
      <c r="D103" s="149"/>
      <c r="E103" s="135" t="s">
        <v>58</v>
      </c>
      <c r="F103" s="5">
        <v>2019</v>
      </c>
      <c r="G103" s="5"/>
      <c r="H103" s="25">
        <v>0</v>
      </c>
      <c r="I103" s="67" t="s">
        <v>51</v>
      </c>
      <c r="J103" s="66">
        <v>0</v>
      </c>
    </row>
    <row r="104" spans="1:10" ht="33" thickBot="1">
      <c r="A104" s="148" t="s">
        <v>113</v>
      </c>
      <c r="B104" s="149"/>
      <c r="C104" s="149"/>
      <c r="D104" s="149"/>
      <c r="E104" s="135"/>
      <c r="F104" s="5"/>
      <c r="G104" s="5"/>
      <c r="H104" s="25">
        <v>0</v>
      </c>
      <c r="I104" s="67" t="s">
        <v>51</v>
      </c>
      <c r="J104" s="21"/>
    </row>
    <row r="105" spans="1:10" ht="36" thickBot="1">
      <c r="A105" s="203" t="s">
        <v>114</v>
      </c>
      <c r="B105" s="204"/>
      <c r="C105" s="204"/>
      <c r="D105" s="204"/>
      <c r="E105" s="124"/>
      <c r="F105" s="125"/>
      <c r="G105" s="125"/>
      <c r="H105" s="129">
        <v>0</v>
      </c>
      <c r="I105" s="128"/>
      <c r="J105" s="21"/>
    </row>
    <row r="106" spans="1:10" ht="32.450000000000003">
      <c r="A106" s="148" t="s">
        <v>115</v>
      </c>
      <c r="B106" s="149"/>
      <c r="C106" s="149"/>
      <c r="D106" s="149"/>
      <c r="E106" s="135" t="s">
        <v>58</v>
      </c>
      <c r="F106" s="5">
        <v>2695</v>
      </c>
      <c r="G106" s="5"/>
      <c r="H106" s="25">
        <v>0</v>
      </c>
      <c r="I106" s="67" t="s">
        <v>51</v>
      </c>
      <c r="J106" s="66">
        <v>0</v>
      </c>
    </row>
    <row r="107" spans="1:10" ht="32.450000000000003">
      <c r="A107" s="148" t="s">
        <v>116</v>
      </c>
      <c r="B107" s="149"/>
      <c r="C107" s="149"/>
      <c r="D107" s="149"/>
      <c r="E107" s="135" t="s">
        <v>58</v>
      </c>
      <c r="F107" s="5">
        <v>2766</v>
      </c>
      <c r="G107" s="5"/>
      <c r="H107" s="25">
        <v>0</v>
      </c>
      <c r="I107" s="67" t="s">
        <v>51</v>
      </c>
      <c r="J107" s="66">
        <v>0</v>
      </c>
    </row>
    <row r="108" spans="1:10" ht="32.450000000000003">
      <c r="A108" s="284" t="s">
        <v>117</v>
      </c>
      <c r="B108" s="285"/>
      <c r="C108" s="285"/>
      <c r="D108" s="285"/>
      <c r="E108" s="135" t="s">
        <v>58</v>
      </c>
      <c r="F108" s="5">
        <v>2697</v>
      </c>
      <c r="G108" s="5"/>
      <c r="H108" s="25">
        <v>0</v>
      </c>
      <c r="I108" s="67" t="s">
        <v>51</v>
      </c>
      <c r="J108" s="66">
        <v>0</v>
      </c>
    </row>
    <row r="109" spans="1:10" ht="32.450000000000003">
      <c r="A109" s="148" t="s">
        <v>118</v>
      </c>
      <c r="B109" s="149"/>
      <c r="C109" s="149"/>
      <c r="D109" s="149"/>
      <c r="E109" s="135" t="s">
        <v>58</v>
      </c>
      <c r="F109" s="5">
        <v>2696</v>
      </c>
      <c r="G109" s="5"/>
      <c r="H109" s="25">
        <v>0</v>
      </c>
      <c r="I109" s="67" t="s">
        <v>51</v>
      </c>
      <c r="J109" s="66">
        <v>0</v>
      </c>
    </row>
    <row r="110" spans="1:10" ht="32.450000000000003">
      <c r="A110" s="148" t="s">
        <v>119</v>
      </c>
      <c r="B110" s="149"/>
      <c r="C110" s="149"/>
      <c r="D110" s="149"/>
      <c r="E110" s="135"/>
      <c r="F110" s="25">
        <v>2913</v>
      </c>
      <c r="G110" s="5"/>
      <c r="H110" s="25">
        <v>0</v>
      </c>
      <c r="I110" s="67" t="s">
        <v>51</v>
      </c>
      <c r="J110" s="66">
        <v>0</v>
      </c>
    </row>
    <row r="111" spans="1:10" ht="32.450000000000003">
      <c r="A111" s="148" t="s">
        <v>120</v>
      </c>
      <c r="B111" s="149"/>
      <c r="C111" s="149"/>
      <c r="D111" s="149"/>
      <c r="E111" s="135" t="s">
        <v>58</v>
      </c>
      <c r="F111" s="5">
        <v>2890</v>
      </c>
      <c r="G111" s="5"/>
      <c r="H111" s="25">
        <v>0</v>
      </c>
      <c r="I111" s="67" t="s">
        <v>51</v>
      </c>
      <c r="J111" s="66">
        <v>0</v>
      </c>
    </row>
    <row r="112" spans="1:10" ht="32.450000000000003">
      <c r="A112" s="148" t="s">
        <v>121</v>
      </c>
      <c r="B112" s="149"/>
      <c r="C112" s="149"/>
      <c r="D112" s="149"/>
      <c r="E112" s="135" t="s">
        <v>58</v>
      </c>
      <c r="F112" s="25">
        <v>2819</v>
      </c>
      <c r="G112" s="5"/>
      <c r="H112" s="25">
        <v>0</v>
      </c>
      <c r="I112" s="67" t="s">
        <v>51</v>
      </c>
      <c r="J112" s="66">
        <v>0</v>
      </c>
    </row>
    <row r="113" spans="1:10" ht="32.450000000000003">
      <c r="A113" s="282" t="s">
        <v>122</v>
      </c>
      <c r="B113" s="283"/>
      <c r="C113" s="283"/>
      <c r="D113" s="283"/>
      <c r="E113" s="135"/>
      <c r="F113" s="25"/>
      <c r="G113" s="5"/>
      <c r="H113" s="25">
        <v>0</v>
      </c>
      <c r="I113" s="67" t="s">
        <v>51</v>
      </c>
      <c r="J113" s="24"/>
    </row>
    <row r="114" spans="1:10" ht="32.450000000000003">
      <c r="A114" s="148" t="s">
        <v>123</v>
      </c>
      <c r="B114" s="149"/>
      <c r="C114" s="149"/>
      <c r="D114" s="149"/>
      <c r="E114" s="135"/>
      <c r="F114" s="25"/>
      <c r="G114" s="5"/>
      <c r="H114" s="25">
        <v>0</v>
      </c>
      <c r="I114" s="67" t="s">
        <v>51</v>
      </c>
      <c r="J114" s="24"/>
    </row>
    <row r="115" spans="1:10" ht="33" thickBot="1">
      <c r="A115" s="148" t="s">
        <v>124</v>
      </c>
      <c r="B115" s="149"/>
      <c r="C115" s="149"/>
      <c r="D115" s="149"/>
      <c r="E115" s="135"/>
      <c r="F115" s="25"/>
      <c r="G115" s="5"/>
      <c r="H115" s="25">
        <v>0</v>
      </c>
      <c r="I115" s="67" t="s">
        <v>51</v>
      </c>
      <c r="J115" s="24"/>
    </row>
    <row r="116" spans="1:10" ht="33" customHeight="1" thickBot="1">
      <c r="A116" s="203" t="s">
        <v>125</v>
      </c>
      <c r="B116" s="204"/>
      <c r="C116" s="204"/>
      <c r="D116" s="204"/>
      <c r="E116" s="124"/>
      <c r="F116" s="125"/>
      <c r="G116" s="125"/>
      <c r="H116" s="129">
        <v>0</v>
      </c>
      <c r="I116" s="128"/>
      <c r="J116" s="24"/>
    </row>
    <row r="117" spans="1:10" ht="33" thickBot="1">
      <c r="A117" s="282" t="s">
        <v>126</v>
      </c>
      <c r="B117" s="283"/>
      <c r="C117" s="283"/>
      <c r="D117" s="283"/>
      <c r="E117" s="135" t="s">
        <v>58</v>
      </c>
      <c r="F117" s="5">
        <v>2714</v>
      </c>
      <c r="G117" s="5"/>
      <c r="H117" s="25">
        <v>0</v>
      </c>
      <c r="I117" s="67" t="s">
        <v>51</v>
      </c>
      <c r="J117" s="66">
        <v>0</v>
      </c>
    </row>
    <row r="118" spans="1:10" ht="36" thickBot="1">
      <c r="A118" s="203" t="s">
        <v>127</v>
      </c>
      <c r="B118" s="204"/>
      <c r="C118" s="204"/>
      <c r="D118" s="204"/>
      <c r="E118" s="124"/>
      <c r="F118" s="125"/>
      <c r="G118" s="125"/>
      <c r="H118" s="129">
        <v>0</v>
      </c>
      <c r="I118" s="128"/>
      <c r="J118" s="21"/>
    </row>
    <row r="119" spans="1:10" ht="32.450000000000003">
      <c r="A119" s="148" t="s">
        <v>128</v>
      </c>
      <c r="B119" s="149"/>
      <c r="C119" s="149"/>
      <c r="D119" s="149"/>
      <c r="E119" s="135" t="s">
        <v>58</v>
      </c>
      <c r="F119" s="5">
        <v>2245</v>
      </c>
      <c r="G119" s="5"/>
      <c r="H119" s="25">
        <v>0</v>
      </c>
      <c r="I119" s="67" t="s">
        <v>51</v>
      </c>
      <c r="J119" s="66">
        <v>0</v>
      </c>
    </row>
    <row r="120" spans="1:10" ht="32.450000000000003">
      <c r="A120" s="148" t="s">
        <v>129</v>
      </c>
      <c r="B120" s="286"/>
      <c r="C120" s="286"/>
      <c r="D120" s="286"/>
      <c r="E120" s="135"/>
      <c r="F120" s="5"/>
      <c r="G120" s="5"/>
      <c r="H120" s="25">
        <v>0</v>
      </c>
      <c r="I120" s="67" t="s">
        <v>51</v>
      </c>
      <c r="J120" s="66"/>
    </row>
    <row r="121" spans="1:10" ht="32.450000000000003">
      <c r="A121" s="148" t="s">
        <v>130</v>
      </c>
      <c r="B121" s="149"/>
      <c r="C121" s="149"/>
      <c r="D121" s="149"/>
      <c r="E121" s="113">
        <v>0</v>
      </c>
      <c r="F121" s="114" t="s">
        <v>51</v>
      </c>
      <c r="G121" s="66">
        <v>0</v>
      </c>
      <c r="H121" s="25">
        <v>0</v>
      </c>
      <c r="I121" s="67" t="s">
        <v>51</v>
      </c>
    </row>
    <row r="122" spans="1:10" ht="32.450000000000003">
      <c r="A122" s="148" t="s">
        <v>131</v>
      </c>
      <c r="B122" s="149"/>
      <c r="C122" s="149"/>
      <c r="D122" s="149"/>
      <c r="E122" s="113">
        <v>0</v>
      </c>
      <c r="F122" s="114" t="s">
        <v>51</v>
      </c>
      <c r="G122" s="66">
        <v>0</v>
      </c>
      <c r="H122" s="25">
        <v>0</v>
      </c>
      <c r="I122" s="67" t="s">
        <v>51</v>
      </c>
    </row>
    <row r="123" spans="1:10" ht="32.450000000000003">
      <c r="A123" s="148" t="s">
        <v>132</v>
      </c>
      <c r="B123" s="149"/>
      <c r="C123" s="149"/>
      <c r="D123" s="149"/>
      <c r="E123" s="113">
        <v>0</v>
      </c>
      <c r="F123" s="114" t="s">
        <v>51</v>
      </c>
      <c r="G123" s="66"/>
      <c r="H123" s="25">
        <v>0</v>
      </c>
      <c r="I123" s="67" t="s">
        <v>51</v>
      </c>
    </row>
    <row r="124" spans="1:10" ht="32.450000000000003" customHeight="1" thickBot="1">
      <c r="A124" s="148" t="s">
        <v>133</v>
      </c>
      <c r="B124" s="149"/>
      <c r="C124" s="149"/>
      <c r="D124" s="149"/>
      <c r="E124" s="135"/>
      <c r="F124" s="140"/>
      <c r="G124" s="5"/>
      <c r="H124" s="25">
        <v>0</v>
      </c>
      <c r="I124" s="67" t="s">
        <v>51</v>
      </c>
      <c r="J124" s="21"/>
    </row>
    <row r="125" spans="1:10" ht="37.15" thickBot="1">
      <c r="A125" s="287" t="s">
        <v>134</v>
      </c>
      <c r="B125" s="288"/>
      <c r="C125" s="288"/>
      <c r="D125" s="288"/>
      <c r="E125" s="124"/>
      <c r="F125" s="125"/>
      <c r="G125" s="125"/>
      <c r="H125" s="129">
        <v>0</v>
      </c>
      <c r="I125" s="128"/>
      <c r="J125" s="21"/>
    </row>
    <row r="126" spans="1:10" ht="32.450000000000003">
      <c r="A126" s="148" t="s">
        <v>135</v>
      </c>
      <c r="B126" s="149"/>
      <c r="C126" s="149"/>
      <c r="D126" s="149"/>
      <c r="E126" s="135" t="s">
        <v>58</v>
      </c>
      <c r="F126" s="5">
        <v>2179</v>
      </c>
      <c r="G126" s="5"/>
      <c r="H126" s="25">
        <v>0</v>
      </c>
      <c r="I126" s="67" t="s">
        <v>51</v>
      </c>
      <c r="J126" s="66">
        <v>0</v>
      </c>
    </row>
    <row r="127" spans="1:10" ht="32.450000000000003">
      <c r="A127" s="280" t="s">
        <v>136</v>
      </c>
      <c r="B127" s="281"/>
      <c r="C127" s="281"/>
      <c r="D127" s="281"/>
      <c r="E127" s="135" t="s">
        <v>58</v>
      </c>
      <c r="F127" s="5">
        <v>2104</v>
      </c>
      <c r="G127" s="5"/>
      <c r="H127" s="25">
        <v>0</v>
      </c>
      <c r="I127" s="67" t="s">
        <v>51</v>
      </c>
      <c r="J127" s="66">
        <v>0</v>
      </c>
    </row>
    <row r="128" spans="1:10" ht="32.450000000000003">
      <c r="A128" s="280" t="s">
        <v>137</v>
      </c>
      <c r="B128" s="281"/>
      <c r="C128" s="281"/>
      <c r="D128" s="281"/>
      <c r="E128" s="135" t="s">
        <v>58</v>
      </c>
      <c r="F128" s="5">
        <v>2105</v>
      </c>
      <c r="G128" s="5"/>
      <c r="H128" s="25">
        <v>0</v>
      </c>
      <c r="I128" s="67" t="s">
        <v>51</v>
      </c>
      <c r="J128" s="66">
        <v>0</v>
      </c>
    </row>
    <row r="129" spans="1:10" ht="32.450000000000003">
      <c r="A129" s="289" t="s">
        <v>138</v>
      </c>
      <c r="B129" s="290"/>
      <c r="C129" s="290"/>
      <c r="D129" s="290"/>
      <c r="E129" s="135"/>
      <c r="F129" s="5"/>
      <c r="G129" s="5"/>
      <c r="H129" s="25">
        <v>0</v>
      </c>
      <c r="I129" s="67" t="s">
        <v>51</v>
      </c>
      <c r="J129" s="21"/>
    </row>
    <row r="130" spans="1:10" ht="32.450000000000003">
      <c r="A130" s="162" t="s">
        <v>139</v>
      </c>
      <c r="B130" s="163"/>
      <c r="C130" s="163"/>
      <c r="D130" s="163"/>
      <c r="E130" s="135"/>
      <c r="F130" s="5"/>
      <c r="G130" s="5"/>
      <c r="H130" s="25">
        <v>0</v>
      </c>
      <c r="I130" s="67" t="s">
        <v>51</v>
      </c>
      <c r="J130" s="21"/>
    </row>
    <row r="131" spans="1:10" ht="32.450000000000003">
      <c r="A131" s="162" t="s">
        <v>140</v>
      </c>
      <c r="B131" s="163"/>
      <c r="C131" s="163"/>
      <c r="D131" s="163"/>
      <c r="E131" s="135"/>
      <c r="F131" s="5"/>
      <c r="G131" s="5"/>
      <c r="H131" s="25">
        <v>0</v>
      </c>
      <c r="I131" s="67" t="s">
        <v>51</v>
      </c>
      <c r="J131" s="21"/>
    </row>
    <row r="132" spans="1:10" ht="32.450000000000003">
      <c r="A132" s="280" t="s">
        <v>141</v>
      </c>
      <c r="B132" s="281"/>
      <c r="C132" s="281"/>
      <c r="D132" s="281"/>
      <c r="E132" s="135"/>
      <c r="F132" s="5"/>
      <c r="G132" s="5"/>
      <c r="H132" s="25">
        <v>0</v>
      </c>
      <c r="I132" s="67" t="s">
        <v>51</v>
      </c>
      <c r="J132" s="21"/>
    </row>
    <row r="133" spans="1:10" ht="33" thickBot="1">
      <c r="A133" s="280" t="s">
        <v>142</v>
      </c>
      <c r="B133" s="281"/>
      <c r="C133" s="281"/>
      <c r="D133" s="281"/>
      <c r="E133" s="135"/>
      <c r="F133" s="5"/>
      <c r="G133" s="5"/>
      <c r="H133" s="25">
        <v>0</v>
      </c>
      <c r="I133" s="67" t="s">
        <v>51</v>
      </c>
      <c r="J133" s="21"/>
    </row>
    <row r="134" spans="1:10" ht="36" thickBot="1">
      <c r="A134" s="153" t="s">
        <v>143</v>
      </c>
      <c r="B134" s="154"/>
      <c r="C134" s="154"/>
      <c r="D134" s="154"/>
      <c r="E134" s="124"/>
      <c r="F134" s="125"/>
      <c r="G134" s="125"/>
      <c r="H134" s="129">
        <v>1</v>
      </c>
      <c r="I134" s="128"/>
      <c r="J134" s="21"/>
    </row>
    <row r="135" spans="1:10" ht="32.450000000000003">
      <c r="A135" s="148" t="s">
        <v>144</v>
      </c>
      <c r="B135" s="149"/>
      <c r="C135" s="149"/>
      <c r="D135" s="149"/>
      <c r="E135" s="135" t="s">
        <v>58</v>
      </c>
      <c r="F135" s="5">
        <v>2089</v>
      </c>
      <c r="G135" s="5"/>
      <c r="H135" s="25">
        <v>1</v>
      </c>
      <c r="I135" s="67" t="s">
        <v>51</v>
      </c>
      <c r="J135" s="66">
        <v>0</v>
      </c>
    </row>
    <row r="136" spans="1:10" ht="32.450000000000003">
      <c r="A136" s="148" t="s">
        <v>145</v>
      </c>
      <c r="B136" s="149"/>
      <c r="C136" s="149"/>
      <c r="D136" s="149"/>
      <c r="E136" s="135" t="s">
        <v>58</v>
      </c>
      <c r="F136" s="5">
        <v>2090</v>
      </c>
      <c r="G136" s="5"/>
      <c r="H136" s="25">
        <v>1</v>
      </c>
      <c r="I136" s="67" t="s">
        <v>51</v>
      </c>
      <c r="J136" s="66">
        <v>0</v>
      </c>
    </row>
    <row r="137" spans="1:10" ht="32.450000000000003">
      <c r="A137" s="148" t="s">
        <v>146</v>
      </c>
      <c r="B137" s="149"/>
      <c r="C137" s="149"/>
      <c r="D137" s="149"/>
      <c r="E137" s="135" t="s">
        <v>58</v>
      </c>
      <c r="F137" s="5">
        <v>2091</v>
      </c>
      <c r="G137" s="5"/>
      <c r="H137" s="25">
        <v>1</v>
      </c>
      <c r="I137" s="67" t="s">
        <v>51</v>
      </c>
      <c r="J137" s="66">
        <v>0</v>
      </c>
    </row>
    <row r="138" spans="1:10" ht="32.450000000000003">
      <c r="A138" s="148" t="s">
        <v>147</v>
      </c>
      <c r="B138" s="149"/>
      <c r="C138" s="149"/>
      <c r="D138" s="149"/>
      <c r="E138" s="135" t="s">
        <v>58</v>
      </c>
      <c r="F138" s="5">
        <v>2092</v>
      </c>
      <c r="G138" s="5"/>
      <c r="H138" s="25">
        <v>1</v>
      </c>
      <c r="I138" s="67" t="s">
        <v>51</v>
      </c>
      <c r="J138" s="66">
        <v>0</v>
      </c>
    </row>
    <row r="139" spans="1:10" ht="32.450000000000003">
      <c r="A139" s="160" t="s">
        <v>148</v>
      </c>
      <c r="B139" s="161"/>
      <c r="C139" s="161"/>
      <c r="D139" s="161"/>
      <c r="E139" s="135" t="s">
        <v>58</v>
      </c>
      <c r="F139" s="5">
        <v>2123</v>
      </c>
      <c r="G139" s="5"/>
      <c r="H139" s="25">
        <v>1</v>
      </c>
      <c r="I139" s="67" t="s">
        <v>51</v>
      </c>
      <c r="J139" s="66">
        <v>0</v>
      </c>
    </row>
    <row r="140" spans="1:10" ht="32.450000000000003">
      <c r="A140" s="160"/>
      <c r="B140" s="161"/>
      <c r="C140" s="161"/>
      <c r="D140" s="161"/>
      <c r="E140" s="135"/>
      <c r="F140" s="5"/>
      <c r="G140" s="5"/>
      <c r="H140" s="25"/>
      <c r="I140" s="67"/>
      <c r="J140" s="21"/>
    </row>
    <row r="141" spans="1:10" ht="32.450000000000003">
      <c r="A141" s="148" t="s">
        <v>149</v>
      </c>
      <c r="B141" s="149"/>
      <c r="C141" s="149"/>
      <c r="D141" s="149"/>
      <c r="E141" s="113">
        <v>0</v>
      </c>
      <c r="F141" s="114" t="s">
        <v>51</v>
      </c>
      <c r="G141" s="66">
        <v>0</v>
      </c>
      <c r="H141" s="25">
        <v>0</v>
      </c>
      <c r="I141" s="67" t="s">
        <v>51</v>
      </c>
    </row>
    <row r="142" spans="1:10" ht="32.450000000000003">
      <c r="A142" s="148" t="s">
        <v>150</v>
      </c>
      <c r="B142" s="149"/>
      <c r="C142" s="149"/>
      <c r="D142" s="149"/>
      <c r="E142" s="113">
        <v>0</v>
      </c>
      <c r="F142" s="114" t="s">
        <v>51</v>
      </c>
      <c r="G142" s="66">
        <v>0</v>
      </c>
      <c r="H142" s="25">
        <v>0</v>
      </c>
      <c r="I142" s="67" t="s">
        <v>51</v>
      </c>
    </row>
    <row r="143" spans="1:10" ht="32.450000000000003">
      <c r="A143" s="148" t="s">
        <v>151</v>
      </c>
      <c r="B143" s="149"/>
      <c r="C143" s="157"/>
      <c r="D143" s="157"/>
      <c r="E143" s="113">
        <v>0</v>
      </c>
      <c r="F143" s="114" t="s">
        <v>51</v>
      </c>
      <c r="G143" s="66">
        <v>0</v>
      </c>
      <c r="H143" s="25">
        <v>0</v>
      </c>
      <c r="I143" s="67" t="s">
        <v>51</v>
      </c>
    </row>
    <row r="144" spans="1:10" ht="32.450000000000003">
      <c r="A144" s="148" t="s">
        <v>152</v>
      </c>
      <c r="B144" s="149"/>
      <c r="C144" s="149"/>
      <c r="D144" s="149"/>
      <c r="E144" s="113">
        <v>0</v>
      </c>
      <c r="F144" s="114" t="s">
        <v>51</v>
      </c>
      <c r="G144" s="66">
        <v>0</v>
      </c>
      <c r="H144" s="25">
        <v>0</v>
      </c>
      <c r="I144" s="67" t="s">
        <v>51</v>
      </c>
    </row>
    <row r="145" spans="1:10" ht="32.450000000000003">
      <c r="A145" s="148" t="s">
        <v>153</v>
      </c>
      <c r="B145" s="149"/>
      <c r="C145" s="149"/>
      <c r="D145" s="149"/>
      <c r="E145" s="113">
        <v>0</v>
      </c>
      <c r="F145" s="114" t="s">
        <v>51</v>
      </c>
      <c r="G145" s="66">
        <v>0</v>
      </c>
      <c r="H145" s="25">
        <v>0</v>
      </c>
      <c r="I145" s="67" t="s">
        <v>51</v>
      </c>
    </row>
    <row r="146" spans="1:10" ht="32.450000000000003">
      <c r="A146" s="148" t="s">
        <v>154</v>
      </c>
      <c r="B146" s="149"/>
      <c r="C146" s="149"/>
      <c r="D146" s="149"/>
      <c r="E146" s="113">
        <v>0</v>
      </c>
      <c r="F146" s="114" t="s">
        <v>51</v>
      </c>
      <c r="G146" s="66">
        <v>0</v>
      </c>
      <c r="H146" s="25">
        <v>0</v>
      </c>
      <c r="I146" s="67" t="s">
        <v>51</v>
      </c>
    </row>
    <row r="147" spans="1:10" ht="32.450000000000003">
      <c r="A147" s="148" t="s">
        <v>155</v>
      </c>
      <c r="B147" s="149"/>
      <c r="C147" s="149"/>
      <c r="D147" s="149"/>
      <c r="E147" s="113">
        <v>0</v>
      </c>
      <c r="F147" s="114" t="s">
        <v>51</v>
      </c>
      <c r="G147" s="66">
        <v>0</v>
      </c>
      <c r="H147" s="25">
        <v>0</v>
      </c>
      <c r="I147" s="67" t="s">
        <v>51</v>
      </c>
    </row>
    <row r="148" spans="1:10" ht="33" thickBot="1">
      <c r="A148" s="148" t="s">
        <v>156</v>
      </c>
      <c r="B148" s="149"/>
      <c r="C148" s="149"/>
      <c r="D148" s="149"/>
      <c r="E148" s="113">
        <v>0</v>
      </c>
      <c r="F148" s="114" t="s">
        <v>51</v>
      </c>
      <c r="G148" s="66">
        <v>0</v>
      </c>
      <c r="H148" s="25">
        <v>0</v>
      </c>
      <c r="I148" s="67" t="s">
        <v>51</v>
      </c>
    </row>
    <row r="149" spans="1:10" ht="36" thickBot="1">
      <c r="A149" s="153" t="s">
        <v>157</v>
      </c>
      <c r="B149" s="154"/>
      <c r="C149" s="154"/>
      <c r="D149" s="154"/>
      <c r="E149" s="124"/>
      <c r="F149" s="125"/>
      <c r="G149" s="125"/>
      <c r="H149" s="129">
        <v>1</v>
      </c>
      <c r="I149" s="128"/>
      <c r="J149" s="21"/>
    </row>
    <row r="150" spans="1:10" ht="32.450000000000003">
      <c r="A150" s="148" t="s">
        <v>158</v>
      </c>
      <c r="B150" s="149"/>
      <c r="C150" s="149"/>
      <c r="D150" s="149"/>
      <c r="E150" s="135" t="s">
        <v>58</v>
      </c>
      <c r="F150" s="5">
        <v>2049</v>
      </c>
      <c r="G150" s="5"/>
      <c r="H150" s="25">
        <v>1</v>
      </c>
      <c r="I150" s="67" t="s">
        <v>51</v>
      </c>
      <c r="J150" s="66">
        <v>0</v>
      </c>
    </row>
    <row r="151" spans="1:10" ht="32.450000000000003">
      <c r="A151" s="148" t="s">
        <v>159</v>
      </c>
      <c r="B151" s="149"/>
      <c r="C151" s="149"/>
      <c r="D151" s="149"/>
      <c r="E151" s="135"/>
      <c r="F151" s="5"/>
      <c r="G151" s="5"/>
      <c r="H151" s="25">
        <v>0</v>
      </c>
      <c r="I151" s="67" t="s">
        <v>51</v>
      </c>
      <c r="J151" s="66">
        <v>0</v>
      </c>
    </row>
    <row r="152" spans="1:10" ht="32.450000000000003">
      <c r="A152" s="148" t="s">
        <v>160</v>
      </c>
      <c r="B152" s="149"/>
      <c r="C152" s="149"/>
      <c r="D152" s="149"/>
      <c r="E152" s="135" t="s">
        <v>58</v>
      </c>
      <c r="F152" s="5">
        <v>2857</v>
      </c>
      <c r="G152" s="5"/>
      <c r="H152" s="25">
        <v>0</v>
      </c>
      <c r="I152" s="67" t="s">
        <v>51</v>
      </c>
      <c r="J152" s="66">
        <v>0</v>
      </c>
    </row>
    <row r="153" spans="1:10" ht="33" thickBot="1">
      <c r="A153" s="148" t="s">
        <v>161</v>
      </c>
      <c r="B153" s="149"/>
      <c r="C153" s="149"/>
      <c r="D153" s="149"/>
      <c r="E153" s="135"/>
      <c r="F153" s="5"/>
      <c r="G153" s="5"/>
      <c r="H153" s="25">
        <v>0</v>
      </c>
      <c r="I153" s="67" t="s">
        <v>51</v>
      </c>
      <c r="J153" s="24"/>
    </row>
    <row r="154" spans="1:10" ht="36" thickBot="1">
      <c r="A154" s="153" t="s">
        <v>162</v>
      </c>
      <c r="B154" s="154"/>
      <c r="C154" s="154"/>
      <c r="D154" s="154"/>
      <c r="E154" s="124"/>
      <c r="F154" s="125"/>
      <c r="G154" s="125"/>
      <c r="H154" s="129">
        <v>1</v>
      </c>
      <c r="I154" s="128"/>
      <c r="J154" s="24"/>
    </row>
    <row r="155" spans="1:10" ht="32.450000000000003">
      <c r="A155" s="150" t="s">
        <v>163</v>
      </c>
      <c r="B155" s="151"/>
      <c r="C155" s="151"/>
      <c r="D155" s="151"/>
      <c r="E155" s="135" t="s">
        <v>58</v>
      </c>
      <c r="F155" s="5">
        <v>2850</v>
      </c>
      <c r="G155" s="5"/>
      <c r="H155" s="25">
        <v>1</v>
      </c>
      <c r="I155" s="67" t="s">
        <v>51</v>
      </c>
      <c r="J155" s="66">
        <v>0</v>
      </c>
    </row>
    <row r="156" spans="1:10" ht="32.450000000000003">
      <c r="A156" s="150" t="s">
        <v>164</v>
      </c>
      <c r="B156" s="151"/>
      <c r="C156" s="151"/>
      <c r="D156" s="151"/>
      <c r="E156" s="135" t="s">
        <v>58</v>
      </c>
      <c r="F156" s="5">
        <v>2205</v>
      </c>
      <c r="G156" s="5"/>
      <c r="H156" s="25">
        <v>1</v>
      </c>
      <c r="I156" s="67" t="s">
        <v>51</v>
      </c>
      <c r="J156" s="66">
        <v>0</v>
      </c>
    </row>
    <row r="157" spans="1:10" ht="32.450000000000003">
      <c r="A157" s="150" t="s">
        <v>165</v>
      </c>
      <c r="B157" s="151"/>
      <c r="C157" s="151"/>
      <c r="D157" s="151"/>
      <c r="E157" s="135"/>
      <c r="F157" s="5"/>
      <c r="G157" s="5"/>
      <c r="H157" s="25">
        <v>0</v>
      </c>
      <c r="I157" s="67" t="s">
        <v>51</v>
      </c>
      <c r="J157" s="66"/>
    </row>
    <row r="158" spans="1:10" ht="33" thickBot="1">
      <c r="A158" s="148" t="s">
        <v>166</v>
      </c>
      <c r="B158" s="149"/>
      <c r="C158" s="149"/>
      <c r="D158" s="149"/>
      <c r="E158" s="135" t="s">
        <v>58</v>
      </c>
      <c r="F158" s="5">
        <v>2866</v>
      </c>
      <c r="G158" s="5"/>
      <c r="H158" s="25">
        <v>0</v>
      </c>
      <c r="I158" s="67" t="s">
        <v>51</v>
      </c>
      <c r="J158" s="66">
        <v>0</v>
      </c>
    </row>
    <row r="159" spans="1:10" ht="36" thickBot="1">
      <c r="A159" s="153" t="s">
        <v>167</v>
      </c>
      <c r="B159" s="154"/>
      <c r="C159" s="154"/>
      <c r="D159" s="154"/>
      <c r="E159" s="124"/>
      <c r="F159" s="125"/>
      <c r="G159" s="125"/>
      <c r="H159" s="129">
        <v>1</v>
      </c>
      <c r="I159" s="128"/>
      <c r="J159" s="26"/>
    </row>
    <row r="160" spans="1:10" ht="32.450000000000003">
      <c r="A160" s="148" t="s">
        <v>168</v>
      </c>
      <c r="B160" s="149"/>
      <c r="C160" s="149"/>
      <c r="D160" s="149"/>
      <c r="E160" s="135" t="s">
        <v>58</v>
      </c>
      <c r="F160" s="5">
        <v>2065</v>
      </c>
      <c r="G160" s="5"/>
      <c r="H160" s="25">
        <v>0</v>
      </c>
      <c r="I160" s="67" t="s">
        <v>51</v>
      </c>
      <c r="J160" s="66">
        <v>0</v>
      </c>
    </row>
    <row r="161" spans="1:10" ht="32.450000000000003">
      <c r="A161" s="148" t="s">
        <v>169</v>
      </c>
      <c r="B161" s="149"/>
      <c r="C161" s="149"/>
      <c r="D161" s="149"/>
      <c r="E161" s="135" t="s">
        <v>58</v>
      </c>
      <c r="F161" s="5">
        <v>2066</v>
      </c>
      <c r="G161" s="5"/>
      <c r="H161" s="25">
        <v>0</v>
      </c>
      <c r="I161" s="67" t="s">
        <v>51</v>
      </c>
      <c r="J161" s="66">
        <v>0</v>
      </c>
    </row>
    <row r="162" spans="1:10" ht="32.450000000000003">
      <c r="A162" s="148" t="s">
        <v>170</v>
      </c>
      <c r="B162" s="149"/>
      <c r="C162" s="149"/>
      <c r="D162" s="149"/>
      <c r="E162" s="135" t="s">
        <v>58</v>
      </c>
      <c r="F162" s="5">
        <v>2067</v>
      </c>
      <c r="G162" s="5"/>
      <c r="H162" s="25">
        <v>0</v>
      </c>
      <c r="I162" s="67" t="s">
        <v>51</v>
      </c>
      <c r="J162" s="66">
        <v>0</v>
      </c>
    </row>
    <row r="163" spans="1:10" ht="32.450000000000003">
      <c r="A163" s="148" t="s">
        <v>171</v>
      </c>
      <c r="B163" s="149"/>
      <c r="C163" s="149"/>
      <c r="D163" s="149"/>
      <c r="E163" s="135" t="s">
        <v>58</v>
      </c>
      <c r="F163" s="5">
        <v>2068</v>
      </c>
      <c r="G163" s="5"/>
      <c r="H163" s="25">
        <v>0</v>
      </c>
      <c r="I163" s="67" t="s">
        <v>51</v>
      </c>
      <c r="J163" s="66">
        <v>0</v>
      </c>
    </row>
    <row r="164" spans="1:10" ht="32.450000000000003">
      <c r="A164" s="148" t="s">
        <v>172</v>
      </c>
      <c r="B164" s="149"/>
      <c r="C164" s="149"/>
      <c r="D164" s="149"/>
      <c r="E164" s="135" t="s">
        <v>58</v>
      </c>
      <c r="F164" s="5">
        <v>2243</v>
      </c>
      <c r="G164" s="5"/>
      <c r="H164" s="25">
        <v>0</v>
      </c>
      <c r="I164" s="67" t="s">
        <v>51</v>
      </c>
      <c r="J164" s="66">
        <v>0</v>
      </c>
    </row>
    <row r="165" spans="1:10" ht="33" thickBot="1">
      <c r="A165" s="148" t="s">
        <v>173</v>
      </c>
      <c r="B165" s="149"/>
      <c r="C165" s="149"/>
      <c r="D165" s="149"/>
      <c r="E165" s="135" t="s">
        <v>58</v>
      </c>
      <c r="F165" s="5">
        <v>2851</v>
      </c>
      <c r="G165" s="5"/>
      <c r="H165" s="25">
        <v>0</v>
      </c>
      <c r="I165" s="67" t="s">
        <v>51</v>
      </c>
      <c r="J165" s="66">
        <v>0</v>
      </c>
    </row>
    <row r="166" spans="1:10" ht="36" thickBot="1">
      <c r="A166" s="203" t="s">
        <v>174</v>
      </c>
      <c r="B166" s="204"/>
      <c r="C166" s="204"/>
      <c r="D166" s="204"/>
      <c r="E166" s="124"/>
      <c r="F166" s="125"/>
      <c r="G166" s="125"/>
      <c r="H166" s="129">
        <v>0</v>
      </c>
      <c r="I166" s="128"/>
      <c r="J166" s="24"/>
    </row>
    <row r="167" spans="1:10" ht="32.450000000000003">
      <c r="A167" s="158" t="s">
        <v>175</v>
      </c>
      <c r="B167" s="323"/>
      <c r="C167" s="323"/>
      <c r="D167" s="323"/>
      <c r="E167" s="135" t="s">
        <v>58</v>
      </c>
      <c r="F167" s="5">
        <v>2311</v>
      </c>
      <c r="G167" s="5"/>
      <c r="H167" s="25">
        <v>0</v>
      </c>
      <c r="I167" s="67" t="s">
        <v>51</v>
      </c>
      <c r="J167" s="66">
        <v>0</v>
      </c>
    </row>
    <row r="168" spans="1:10" ht="32.450000000000003">
      <c r="A168" s="158" t="s">
        <v>176</v>
      </c>
      <c r="B168" s="323"/>
      <c r="C168" s="323"/>
      <c r="D168" s="323"/>
      <c r="E168" s="135" t="s">
        <v>58</v>
      </c>
      <c r="F168" s="5">
        <v>2309</v>
      </c>
      <c r="G168" s="5"/>
      <c r="H168" s="25">
        <v>0</v>
      </c>
      <c r="I168" s="67" t="s">
        <v>51</v>
      </c>
      <c r="J168" s="66">
        <v>0</v>
      </c>
    </row>
    <row r="169" spans="1:10" ht="32.450000000000003">
      <c r="A169" s="158" t="s">
        <v>177</v>
      </c>
      <c r="B169" s="159"/>
      <c r="C169" s="159"/>
      <c r="D169" s="159"/>
      <c r="E169" s="135" t="s">
        <v>58</v>
      </c>
      <c r="F169" s="5">
        <v>2077</v>
      </c>
      <c r="G169" s="5"/>
      <c r="H169" s="25">
        <v>0</v>
      </c>
      <c r="I169" s="67" t="s">
        <v>51</v>
      </c>
      <c r="J169" s="66">
        <v>0</v>
      </c>
    </row>
    <row r="170" spans="1:10" ht="32.450000000000003">
      <c r="A170" s="158" t="s">
        <v>178</v>
      </c>
      <c r="B170" s="315"/>
      <c r="C170" s="315"/>
      <c r="D170" s="315"/>
      <c r="E170" s="135" t="s">
        <v>58</v>
      </c>
      <c r="F170" s="5">
        <v>2076</v>
      </c>
      <c r="G170" s="5"/>
      <c r="H170" s="25">
        <v>0</v>
      </c>
      <c r="I170" s="67" t="s">
        <v>51</v>
      </c>
      <c r="J170" s="66">
        <v>0</v>
      </c>
    </row>
    <row r="171" spans="1:10" ht="32.450000000000003">
      <c r="A171" s="148" t="s">
        <v>179</v>
      </c>
      <c r="B171" s="149"/>
      <c r="C171" s="149"/>
      <c r="D171" s="149"/>
      <c r="E171" s="135" t="s">
        <v>58</v>
      </c>
      <c r="F171" s="5">
        <v>2554</v>
      </c>
      <c r="G171" s="5"/>
      <c r="H171" s="25">
        <v>0</v>
      </c>
      <c r="I171" s="67" t="s">
        <v>51</v>
      </c>
      <c r="J171" s="66">
        <v>0</v>
      </c>
    </row>
    <row r="172" spans="1:10" ht="33" thickBot="1">
      <c r="A172" s="152" t="s">
        <v>180</v>
      </c>
      <c r="B172" s="324"/>
      <c r="C172" s="324"/>
      <c r="D172" s="324"/>
      <c r="E172" s="113">
        <v>0</v>
      </c>
      <c r="F172" s="114" t="s">
        <v>51</v>
      </c>
      <c r="G172" s="66">
        <v>0</v>
      </c>
      <c r="H172" s="25">
        <v>0</v>
      </c>
      <c r="I172" s="67" t="s">
        <v>51</v>
      </c>
    </row>
    <row r="173" spans="1:10" ht="36" thickBot="1">
      <c r="A173" s="203" t="s">
        <v>181</v>
      </c>
      <c r="B173" s="204"/>
      <c r="C173" s="204"/>
      <c r="D173" s="204"/>
      <c r="E173" s="124"/>
      <c r="F173" s="125"/>
      <c r="G173" s="125"/>
      <c r="H173" s="129">
        <v>1</v>
      </c>
      <c r="I173" s="128"/>
      <c r="J173" s="24"/>
    </row>
    <row r="174" spans="1:10" ht="32.450000000000003">
      <c r="A174" s="293" t="s">
        <v>182</v>
      </c>
      <c r="B174" s="294"/>
      <c r="C174" s="294"/>
      <c r="D174" s="294"/>
      <c r="E174" s="93" t="s">
        <v>58</v>
      </c>
      <c r="F174" s="94">
        <v>2086</v>
      </c>
      <c r="G174" s="94"/>
      <c r="H174" s="90">
        <v>1</v>
      </c>
      <c r="I174" s="95" t="s">
        <v>51</v>
      </c>
      <c r="J174" s="66" t="e">
        <v>#REF!</v>
      </c>
    </row>
    <row r="175" spans="1:10" ht="32.450000000000003">
      <c r="A175" s="291" t="s">
        <v>183</v>
      </c>
      <c r="B175" s="292"/>
      <c r="C175" s="292"/>
      <c r="D175" s="292"/>
      <c r="E175" s="96" t="s">
        <v>58</v>
      </c>
      <c r="F175" s="97">
        <v>2087</v>
      </c>
      <c r="G175" s="97"/>
      <c r="H175" s="91">
        <v>0</v>
      </c>
      <c r="I175" s="98" t="s">
        <v>51</v>
      </c>
      <c r="J175" s="66">
        <v>0</v>
      </c>
    </row>
    <row r="176" spans="1:10" ht="33" thickBot="1">
      <c r="A176" s="291" t="s">
        <v>184</v>
      </c>
      <c r="B176" s="292"/>
      <c r="C176" s="292"/>
      <c r="D176" s="292"/>
      <c r="E176" s="96" t="s">
        <v>58</v>
      </c>
      <c r="F176" s="97">
        <v>2282</v>
      </c>
      <c r="G176" s="97"/>
      <c r="H176" s="91">
        <v>0</v>
      </c>
      <c r="I176" s="98" t="s">
        <v>51</v>
      </c>
      <c r="J176" s="66">
        <v>0</v>
      </c>
    </row>
    <row r="177" spans="1:10" ht="36" thickBot="1">
      <c r="A177" s="295" t="s">
        <v>185</v>
      </c>
      <c r="B177" s="296"/>
      <c r="C177" s="296"/>
      <c r="D177" s="296"/>
      <c r="E177" s="131"/>
      <c r="F177" s="132"/>
      <c r="G177" s="132"/>
      <c r="H177" s="133">
        <v>0</v>
      </c>
      <c r="I177" s="139"/>
      <c r="J177" s="24"/>
    </row>
    <row r="178" spans="1:10" ht="32.450000000000003">
      <c r="A178" s="297" t="s">
        <v>186</v>
      </c>
      <c r="B178" s="298"/>
      <c r="C178" s="298"/>
      <c r="D178" s="298"/>
      <c r="E178" s="99"/>
      <c r="F178" s="99"/>
      <c r="G178" s="100"/>
      <c r="H178" s="101">
        <v>0</v>
      </c>
      <c r="I178" s="102"/>
      <c r="J178" s="24"/>
    </row>
    <row r="179" spans="1:10" ht="33" thickBot="1">
      <c r="A179" s="29"/>
      <c r="B179" s="29"/>
      <c r="C179" s="29"/>
      <c r="D179" s="29"/>
      <c r="E179" s="22"/>
      <c r="F179" s="22"/>
      <c r="G179" s="15"/>
      <c r="H179" s="31"/>
      <c r="I179" s="32"/>
      <c r="J179" s="21"/>
    </row>
    <row r="180" spans="1:10" ht="34.15" thickTop="1" thickBot="1">
      <c r="A180" s="299" t="s">
        <v>187</v>
      </c>
      <c r="B180" s="300"/>
      <c r="C180" s="300"/>
      <c r="D180" s="300"/>
      <c r="E180" s="300"/>
      <c r="F180" s="300"/>
      <c r="G180" s="325"/>
      <c r="H180" s="325"/>
      <c r="I180" s="326"/>
    </row>
    <row r="181" spans="1:10" ht="33.6" thickTop="1">
      <c r="A181" s="116"/>
      <c r="B181" s="117"/>
      <c r="C181" s="117"/>
      <c r="D181" s="117"/>
      <c r="E181" s="115"/>
      <c r="F181" s="115"/>
      <c r="G181" s="21"/>
    </row>
    <row r="182" spans="1:10" ht="33">
      <c r="A182" s="33"/>
      <c r="B182" s="23"/>
      <c r="C182" s="23"/>
      <c r="D182" s="4"/>
      <c r="E182" s="5"/>
      <c r="F182" s="5"/>
      <c r="G182" s="5"/>
      <c r="H182" s="120" t="s">
        <v>188</v>
      </c>
      <c r="I182" s="71">
        <v>0</v>
      </c>
      <c r="J182" s="34" t="e">
        <f>SUM(J41:J176)-#REF!</f>
        <v>#REF!</v>
      </c>
    </row>
    <row r="183" spans="1:10" ht="17.100000000000001" customHeight="1">
      <c r="A183" s="157"/>
      <c r="B183" s="323"/>
      <c r="C183" s="323"/>
      <c r="D183" s="323"/>
      <c r="E183" s="5"/>
      <c r="F183" s="5"/>
      <c r="G183" s="5"/>
      <c r="H183" s="70"/>
      <c r="I183" s="72"/>
      <c r="J183" s="1"/>
    </row>
    <row r="184" spans="1:10" ht="32.450000000000003">
      <c r="A184" s="10" t="s">
        <v>189</v>
      </c>
      <c r="B184" s="305" t="s">
        <v>190</v>
      </c>
      <c r="C184" s="305"/>
      <c r="D184" s="327"/>
      <c r="E184" s="5"/>
      <c r="F184" s="35" t="s">
        <v>191</v>
      </c>
      <c r="G184" s="36"/>
      <c r="H184" s="73" t="s">
        <v>192</v>
      </c>
      <c r="I184" s="74">
        <v>0</v>
      </c>
      <c r="J184" s="37" t="s">
        <v>193</v>
      </c>
    </row>
    <row r="185" spans="1:10" ht="17.100000000000001" customHeight="1">
      <c r="A185" s="157"/>
      <c r="B185" s="323"/>
      <c r="C185" s="323"/>
      <c r="D185" s="323"/>
      <c r="E185" s="5"/>
      <c r="F185" s="5"/>
      <c r="G185" s="5"/>
      <c r="H185" s="70"/>
      <c r="I185" s="68"/>
      <c r="J185" s="1"/>
    </row>
    <row r="186" spans="1:10" ht="32.450000000000003">
      <c r="A186" s="10" t="s">
        <v>194</v>
      </c>
      <c r="B186" s="305" t="s">
        <v>195</v>
      </c>
      <c r="C186" s="327"/>
      <c r="D186" s="327"/>
      <c r="E186" s="5"/>
      <c r="F186" s="35" t="s">
        <v>196</v>
      </c>
      <c r="G186" s="36"/>
      <c r="H186" s="73" t="s">
        <v>197</v>
      </c>
      <c r="I186" s="74">
        <v>0</v>
      </c>
      <c r="J186" s="37">
        <v>-6451</v>
      </c>
    </row>
    <row r="187" spans="1:10" ht="17.100000000000001" customHeight="1">
      <c r="A187" s="157"/>
      <c r="B187" s="323"/>
      <c r="C187" s="323"/>
      <c r="D187" s="323"/>
      <c r="E187" s="5"/>
      <c r="F187" s="5"/>
      <c r="G187" s="5"/>
      <c r="H187" s="70"/>
      <c r="I187" s="72"/>
      <c r="J187" s="37"/>
    </row>
    <row r="188" spans="1:10" ht="32.450000000000003">
      <c r="A188" s="38" t="s">
        <v>198</v>
      </c>
      <c r="B188" s="327" t="s">
        <v>199</v>
      </c>
      <c r="C188" s="327"/>
      <c r="D188" s="327"/>
      <c r="E188" s="5"/>
      <c r="F188" s="5"/>
      <c r="G188" s="5"/>
      <c r="H188" s="75" t="s">
        <v>200</v>
      </c>
      <c r="I188" s="76">
        <f>SUM(I186+I184+I182)</f>
        <v>0</v>
      </c>
      <c r="J188" s="66">
        <v>-6000</v>
      </c>
    </row>
    <row r="189" spans="1:10" ht="17.100000000000001" customHeight="1">
      <c r="A189" s="157"/>
      <c r="B189" s="323"/>
      <c r="C189" s="323"/>
      <c r="D189" s="323"/>
      <c r="E189" s="5"/>
      <c r="F189" s="5"/>
      <c r="G189" s="5"/>
      <c r="H189" s="70"/>
      <c r="I189" s="72"/>
      <c r="J189" s="1"/>
    </row>
    <row r="190" spans="1:10" ht="32.450000000000003">
      <c r="A190" s="306" t="s">
        <v>201</v>
      </c>
      <c r="B190" s="306"/>
      <c r="C190" s="306"/>
      <c r="D190" s="328"/>
      <c r="E190" s="5"/>
      <c r="F190" s="28"/>
      <c r="G190" s="5"/>
      <c r="H190" s="77" t="s">
        <v>202</v>
      </c>
      <c r="I190" s="76">
        <f>J190</f>
        <v>0</v>
      </c>
      <c r="J190" s="66">
        <v>0</v>
      </c>
    </row>
    <row r="191" spans="1:10" ht="17.100000000000001" customHeight="1">
      <c r="A191" s="179"/>
      <c r="B191" s="323"/>
      <c r="C191" s="323"/>
      <c r="D191" s="323"/>
      <c r="E191" s="5"/>
      <c r="F191" s="3"/>
      <c r="G191" s="5"/>
      <c r="H191" s="78"/>
      <c r="I191" s="68"/>
      <c r="J191" s="1"/>
    </row>
    <row r="192" spans="1:10" ht="32.450000000000003" hidden="1">
      <c r="A192" s="40"/>
      <c r="B192" s="41"/>
      <c r="C192" s="42"/>
      <c r="D192" s="4"/>
      <c r="E192" s="5"/>
      <c r="F192" s="16"/>
      <c r="G192" s="16"/>
      <c r="H192" s="79"/>
      <c r="I192" s="80"/>
      <c r="J192" s="1"/>
    </row>
    <row r="193" spans="1:13" ht="32.450000000000003" hidden="1">
      <c r="A193" s="43"/>
      <c r="B193" s="43"/>
      <c r="C193" s="43"/>
      <c r="D193" s="4"/>
      <c r="E193" s="28"/>
      <c r="F193" s="44"/>
      <c r="G193" s="44"/>
      <c r="H193" s="81"/>
      <c r="I193" s="82"/>
      <c r="J193" s="1"/>
    </row>
    <row r="194" spans="1:13" ht="32.450000000000003">
      <c r="A194" s="329" t="s">
        <v>44</v>
      </c>
      <c r="B194" s="323"/>
      <c r="C194" s="323"/>
      <c r="D194" s="314"/>
      <c r="E194" s="28"/>
      <c r="F194" s="44"/>
      <c r="G194" s="44"/>
      <c r="H194" s="83" t="s">
        <v>203</v>
      </c>
      <c r="I194" s="84">
        <v>0</v>
      </c>
      <c r="J194" s="34">
        <v>0</v>
      </c>
    </row>
    <row r="195" spans="1:13" ht="17.100000000000001" customHeight="1">
      <c r="A195" s="330"/>
      <c r="B195" s="330"/>
      <c r="C195" s="330"/>
      <c r="D195" s="323"/>
      <c r="E195" s="45"/>
      <c r="F195" s="45"/>
      <c r="G195" s="45"/>
      <c r="H195" s="85"/>
      <c r="I195" s="86"/>
      <c r="J195" s="1"/>
    </row>
    <row r="196" spans="1:13" ht="33" thickBot="1">
      <c r="A196" s="309" t="s">
        <v>204</v>
      </c>
      <c r="B196" s="310"/>
      <c r="C196" s="310"/>
      <c r="D196" s="323"/>
      <c r="E196" s="45"/>
      <c r="F196" s="45"/>
      <c r="G196" s="45"/>
      <c r="H196" s="75" t="s">
        <v>205</v>
      </c>
      <c r="I196" s="76">
        <f>I188+I190+I194</f>
        <v>0</v>
      </c>
      <c r="J196" s="47" t="e">
        <f>SUM(J182:J195)</f>
        <v>#REF!</v>
      </c>
    </row>
    <row r="197" spans="1:13" ht="17.100000000000001" customHeight="1">
      <c r="A197" s="308"/>
      <c r="B197" s="311"/>
      <c r="C197" s="311"/>
      <c r="D197" s="323"/>
      <c r="E197" s="45"/>
      <c r="F197" s="45"/>
      <c r="G197" s="45"/>
      <c r="H197" s="75"/>
      <c r="I197" s="76"/>
      <c r="J197" s="34"/>
    </row>
    <row r="198" spans="1:13" ht="32.450000000000003">
      <c r="A198" s="312"/>
      <c r="B198" s="312"/>
      <c r="C198" s="312"/>
      <c r="D198" s="323"/>
      <c r="E198" s="45"/>
      <c r="F198" s="45"/>
      <c r="G198" s="45"/>
      <c r="H198" s="83" t="s">
        <v>206</v>
      </c>
      <c r="I198" s="87">
        <v>1</v>
      </c>
      <c r="J198" s="34" t="e">
        <f>SUM(#REF!)</f>
        <v>#REF!</v>
      </c>
    </row>
    <row r="199" spans="1:13" ht="32.450000000000003">
      <c r="A199" s="309" t="s">
        <v>207</v>
      </c>
      <c r="B199" s="331"/>
      <c r="C199" s="331"/>
      <c r="D199" s="323"/>
      <c r="E199" s="45"/>
      <c r="F199" s="45"/>
      <c r="G199" s="45"/>
      <c r="H199" s="75" t="s">
        <v>44</v>
      </c>
      <c r="I199" s="86"/>
      <c r="J199" s="34"/>
    </row>
    <row r="200" spans="1:13" ht="33" thickBot="1">
      <c r="A200" s="308"/>
      <c r="B200" s="323"/>
      <c r="C200" s="323"/>
      <c r="D200" s="323"/>
      <c r="E200" s="307"/>
      <c r="F200" s="307"/>
      <c r="G200" s="307"/>
      <c r="H200" s="75" t="s">
        <v>208</v>
      </c>
      <c r="I200" s="118">
        <f>I196*I198</f>
        <v>0</v>
      </c>
      <c r="J200" s="34"/>
    </row>
    <row r="201" spans="1:13" ht="17.100000000000001" customHeight="1" thickTop="1">
      <c r="A201" s="330"/>
      <c r="B201" s="330"/>
      <c r="C201" s="330"/>
      <c r="D201" s="323"/>
      <c r="E201" s="45"/>
      <c r="F201" s="45"/>
      <c r="G201" s="45"/>
      <c r="H201" s="88"/>
      <c r="I201" s="119"/>
      <c r="J201" s="49">
        <v>1</v>
      </c>
    </row>
    <row r="202" spans="1:13" ht="32.450000000000003">
      <c r="A202" s="40" t="s">
        <v>209</v>
      </c>
      <c r="B202" s="4"/>
      <c r="C202" s="4"/>
      <c r="D202" s="4"/>
      <c r="E202" s="45"/>
      <c r="F202" s="45"/>
      <c r="G202" s="45"/>
      <c r="H202" s="48"/>
      <c r="I202" s="46"/>
      <c r="J202" s="50"/>
    </row>
    <row r="203" spans="1:13" ht="32.450000000000003">
      <c r="A203" s="30"/>
      <c r="B203" s="10"/>
      <c r="C203" s="10"/>
      <c r="D203" s="4"/>
      <c r="E203" s="45"/>
      <c r="F203" s="45"/>
      <c r="G203" s="45"/>
      <c r="H203" s="48"/>
      <c r="I203" s="39"/>
      <c r="J203" s="51"/>
    </row>
    <row r="204" spans="1:13" ht="25.9" customHeight="1">
      <c r="A204" s="155" t="s">
        <v>210</v>
      </c>
      <c r="B204" s="156"/>
      <c r="C204" s="156"/>
      <c r="D204" s="156"/>
      <c r="E204" s="156"/>
      <c r="F204" s="156"/>
      <c r="G204" s="156"/>
      <c r="H204" s="156"/>
      <c r="I204" s="156"/>
      <c r="J204" s="52"/>
    </row>
    <row r="205" spans="1:13" ht="25.9" customHeight="1">
      <c r="A205" s="156"/>
      <c r="B205" s="156"/>
      <c r="C205" s="156"/>
      <c r="D205" s="156"/>
      <c r="E205" s="156"/>
      <c r="F205" s="156"/>
      <c r="G205" s="156"/>
      <c r="H205" s="156"/>
      <c r="I205" s="156"/>
      <c r="J205" s="52"/>
    </row>
    <row r="206" spans="1:13" ht="35.25" customHeight="1">
      <c r="A206" s="53" t="s">
        <v>211</v>
      </c>
      <c r="B206" s="53"/>
      <c r="C206" s="53"/>
      <c r="D206" s="53"/>
      <c r="E206" s="53"/>
      <c r="F206" s="53"/>
      <c r="G206" s="53"/>
      <c r="H206" s="53"/>
      <c r="I206" s="53"/>
      <c r="J206" s="54"/>
      <c r="K206" s="54"/>
      <c r="L206" s="112"/>
      <c r="M206" s="54"/>
    </row>
    <row r="207" spans="1:13" ht="13.9">
      <c r="A207" s="55"/>
      <c r="B207" s="55"/>
      <c r="C207" s="55"/>
      <c r="D207" s="55"/>
      <c r="F207" s="55"/>
      <c r="H207" s="55"/>
      <c r="I207" s="55"/>
      <c r="J207" s="56"/>
    </row>
    <row r="208" spans="1:13">
      <c r="A208" s="57"/>
      <c r="B208" s="57"/>
      <c r="C208" s="57"/>
      <c r="D208" s="57"/>
      <c r="E208" s="57"/>
      <c r="F208" s="57"/>
      <c r="G208" s="57"/>
      <c r="H208" s="58"/>
      <c r="I208" s="59"/>
      <c r="J208" s="56"/>
    </row>
    <row r="209" spans="1:10">
      <c r="J209" s="56"/>
    </row>
    <row r="210" spans="1:10">
      <c r="J210" s="56"/>
    </row>
    <row r="211" spans="1:10">
      <c r="J211" s="56"/>
    </row>
    <row r="212" spans="1:10">
      <c r="H212" s="315"/>
      <c r="I212" s="315"/>
      <c r="J212" s="56"/>
    </row>
    <row r="213" spans="1:10">
      <c r="A213" s="315"/>
      <c r="B213" s="315"/>
      <c r="C213" s="315"/>
      <c r="D213" s="315"/>
      <c r="H213" s="315"/>
      <c r="I213" s="315"/>
      <c r="J213" s="56"/>
    </row>
    <row r="214" spans="1:10">
      <c r="J214" s="56"/>
    </row>
    <row r="215" spans="1:10">
      <c r="J215" s="56"/>
    </row>
    <row r="216" spans="1:10">
      <c r="J216" s="56"/>
    </row>
    <row r="217" spans="1:10">
      <c r="J217" s="56"/>
    </row>
    <row r="218" spans="1:10">
      <c r="J218" s="56"/>
    </row>
    <row r="219" spans="1:10">
      <c r="J219" s="56"/>
    </row>
    <row r="220" spans="1:10">
      <c r="J220" s="56"/>
    </row>
    <row r="221" spans="1:10">
      <c r="J221" s="56"/>
    </row>
    <row r="222" spans="1:10">
      <c r="J222" s="56"/>
    </row>
    <row r="223" spans="1:10">
      <c r="J223" s="56"/>
    </row>
    <row r="224" spans="1:10">
      <c r="J224" s="56"/>
    </row>
    <row r="225" spans="10:10">
      <c r="J225" s="56"/>
    </row>
    <row r="226" spans="10:10">
      <c r="J226" s="56"/>
    </row>
    <row r="227" spans="10:10">
      <c r="J227" s="56"/>
    </row>
    <row r="228" spans="10:10">
      <c r="J228" s="56"/>
    </row>
    <row r="229" spans="10:10">
      <c r="J229" s="56"/>
    </row>
    <row r="230" spans="10:10">
      <c r="J230" s="56"/>
    </row>
    <row r="231" spans="10:10">
      <c r="J231" s="56"/>
    </row>
    <row r="232" spans="10:10">
      <c r="J232" s="56"/>
    </row>
    <row r="233" spans="10:10">
      <c r="J233" s="56"/>
    </row>
    <row r="234" spans="10:10">
      <c r="J234" s="56"/>
    </row>
    <row r="235" spans="10:10">
      <c r="J235" s="56"/>
    </row>
    <row r="236" spans="10:10">
      <c r="J236" s="56"/>
    </row>
    <row r="237" spans="10:10">
      <c r="J237" s="56"/>
    </row>
    <row r="238" spans="10:10">
      <c r="J238" s="56"/>
    </row>
    <row r="239" spans="10:10">
      <c r="J239" s="56"/>
    </row>
    <row r="240" spans="10:10">
      <c r="J240" s="56"/>
    </row>
    <row r="241" spans="10:10">
      <c r="J241" s="56"/>
    </row>
    <row r="242" spans="10:10">
      <c r="J242" s="56"/>
    </row>
    <row r="243" spans="10:10">
      <c r="J243" s="56"/>
    </row>
    <row r="244" spans="10:10">
      <c r="J244" s="56"/>
    </row>
    <row r="245" spans="10:10">
      <c r="J245" s="56"/>
    </row>
    <row r="246" spans="10:10">
      <c r="J246" s="56"/>
    </row>
    <row r="247" spans="10:10">
      <c r="J247" s="56"/>
    </row>
    <row r="248" spans="10:10">
      <c r="J248" s="56"/>
    </row>
    <row r="249" spans="10:10">
      <c r="J249" s="56"/>
    </row>
    <row r="250" spans="10:10">
      <c r="J250" s="56"/>
    </row>
    <row r="251" spans="10:10">
      <c r="J251" s="56"/>
    </row>
    <row r="252" spans="10:10">
      <c r="J252" s="56"/>
    </row>
    <row r="253" spans="10:10">
      <c r="J253" s="56"/>
    </row>
    <row r="254" spans="10:10">
      <c r="J254" s="56"/>
    </row>
    <row r="255" spans="10:10">
      <c r="J255" s="56"/>
    </row>
    <row r="256" spans="10:10">
      <c r="J256" s="56"/>
    </row>
    <row r="257" spans="10:10">
      <c r="J257" s="60"/>
    </row>
    <row r="258" spans="10:10">
      <c r="J258" s="56"/>
    </row>
    <row r="259" spans="10:10">
      <c r="J259" s="61"/>
    </row>
    <row r="260" spans="10:10">
      <c r="J260" s="56"/>
    </row>
    <row r="261" spans="10:10">
      <c r="J261" s="56"/>
    </row>
    <row r="262" spans="10:10">
      <c r="J262" s="56"/>
    </row>
    <row r="263" spans="10:10">
      <c r="J263" s="62"/>
    </row>
    <row r="264" spans="10:10">
      <c r="J264" s="62"/>
    </row>
    <row r="265" spans="10:10">
      <c r="J265" s="63"/>
    </row>
    <row r="266" spans="10:10">
      <c r="J266" s="63"/>
    </row>
    <row r="267" spans="10:10">
      <c r="J267" s="63"/>
    </row>
    <row r="268" spans="10:10">
      <c r="J268" s="63"/>
    </row>
    <row r="269" spans="10:10">
      <c r="J269" s="64"/>
    </row>
    <row r="270" spans="10:10">
      <c r="J270" s="65"/>
    </row>
    <row r="271" spans="10:10">
      <c r="J271" s="65"/>
    </row>
    <row r="272" spans="10:10">
      <c r="J272" s="65"/>
    </row>
    <row r="273" spans="10:10">
      <c r="J273" s="65"/>
    </row>
    <row r="274" spans="10:10">
      <c r="J274" s="65"/>
    </row>
    <row r="275" spans="10:10">
      <c r="J275" s="65"/>
    </row>
    <row r="276" spans="10:10">
      <c r="J276" s="65"/>
    </row>
    <row r="291" spans="1:9" ht="13.9" thickBot="1"/>
    <row r="292" spans="1:9" ht="34.15" thickTop="1" thickBot="1">
      <c r="A292" s="303" t="s">
        <v>212</v>
      </c>
      <c r="B292" s="304"/>
      <c r="C292" s="304"/>
      <c r="D292" s="304"/>
      <c r="E292" s="304"/>
      <c r="F292" s="304"/>
      <c r="G292" s="332"/>
      <c r="H292" s="332"/>
      <c r="I292" s="333"/>
    </row>
    <row r="293" spans="1:9" ht="33" customHeight="1" thickTop="1">
      <c r="A293" s="301" t="s">
        <v>213</v>
      </c>
      <c r="B293" s="302"/>
      <c r="C293" s="302"/>
      <c r="D293" s="302"/>
      <c r="E293" s="302"/>
      <c r="F293" s="302"/>
      <c r="I293" s="143"/>
    </row>
    <row r="294" spans="1:9" ht="49.5" customHeight="1">
      <c r="A294" s="334" t="s">
        <v>214</v>
      </c>
      <c r="B294" s="335"/>
      <c r="C294" s="336"/>
      <c r="D294" s="330"/>
      <c r="E294" s="330"/>
      <c r="F294" s="330"/>
      <c r="G294" s="330"/>
      <c r="H294" s="330"/>
      <c r="I294" s="337"/>
    </row>
    <row r="295" spans="1:9" ht="49.5" customHeight="1">
      <c r="A295" s="334" t="s">
        <v>215</v>
      </c>
      <c r="B295" s="335"/>
      <c r="C295" s="338"/>
      <c r="D295" s="339"/>
      <c r="E295" s="339"/>
      <c r="F295" s="339"/>
      <c r="G295" s="339"/>
      <c r="H295" s="339"/>
      <c r="I295" s="340"/>
    </row>
    <row r="296" spans="1:9" ht="49.5" customHeight="1">
      <c r="A296" s="144" t="s">
        <v>216</v>
      </c>
      <c r="B296" s="341"/>
      <c r="C296" s="330"/>
      <c r="D296" s="330"/>
      <c r="E296" s="142"/>
      <c r="F296" s="142"/>
      <c r="I296" s="143"/>
    </row>
    <row r="297" spans="1:9" ht="49.5" customHeight="1" thickBot="1">
      <c r="A297" s="342" t="s">
        <v>217</v>
      </c>
      <c r="B297" s="343"/>
      <c r="C297" s="145"/>
      <c r="D297" s="146"/>
      <c r="E297" s="146"/>
      <c r="F297" s="146"/>
      <c r="G297" s="141"/>
      <c r="H297" s="141"/>
      <c r="I297" s="147"/>
    </row>
    <row r="298" spans="1:9" ht="13.9" thickTop="1"/>
  </sheetData>
  <autoFilter ref="H40:H178" xr:uid="{00000000-0009-0000-0000-000000000000}"/>
  <mergeCells count="243">
    <mergeCell ref="A293:F293"/>
    <mergeCell ref="A294:B294"/>
    <mergeCell ref="A295:B295"/>
    <mergeCell ref="B296:D296"/>
    <mergeCell ref="A297:B297"/>
    <mergeCell ref="A292:I292"/>
    <mergeCell ref="A104:D104"/>
    <mergeCell ref="A213:D213"/>
    <mergeCell ref="H213:I213"/>
    <mergeCell ref="B186:D186"/>
    <mergeCell ref="B188:D188"/>
    <mergeCell ref="A190:D190"/>
    <mergeCell ref="E200:G200"/>
    <mergeCell ref="A200:C201"/>
    <mergeCell ref="B184:D184"/>
    <mergeCell ref="A196:C196"/>
    <mergeCell ref="A194:C195"/>
    <mergeCell ref="A197:C198"/>
    <mergeCell ref="A199:C199"/>
    <mergeCell ref="A185:D185"/>
    <mergeCell ref="A187:D187"/>
    <mergeCell ref="A189:D189"/>
    <mergeCell ref="A170:D170"/>
    <mergeCell ref="A191:D191"/>
    <mergeCell ref="D194:D201"/>
    <mergeCell ref="A167:D167"/>
    <mergeCell ref="A175:D175"/>
    <mergeCell ref="A164:D164"/>
    <mergeCell ref="A165:D165"/>
    <mergeCell ref="A174:D174"/>
    <mergeCell ref="A176:D176"/>
    <mergeCell ref="A177:D177"/>
    <mergeCell ref="A178:D178"/>
    <mergeCell ref="A166:D166"/>
    <mergeCell ref="A168:D168"/>
    <mergeCell ref="A180:I180"/>
    <mergeCell ref="A173:D173"/>
    <mergeCell ref="A118:D118"/>
    <mergeCell ref="A119:D119"/>
    <mergeCell ref="A120:D120"/>
    <mergeCell ref="A149:D149"/>
    <mergeCell ref="A150:D150"/>
    <mergeCell ref="A134:D134"/>
    <mergeCell ref="A135:D135"/>
    <mergeCell ref="A152:D152"/>
    <mergeCell ref="A151:D151"/>
    <mergeCell ref="A125:D125"/>
    <mergeCell ref="A127:D127"/>
    <mergeCell ref="A128:D128"/>
    <mergeCell ref="A137:D137"/>
    <mergeCell ref="A138:D138"/>
    <mergeCell ref="A139:D139"/>
    <mergeCell ref="A129:D129"/>
    <mergeCell ref="A121:D121"/>
    <mergeCell ref="A122:D122"/>
    <mergeCell ref="A123:D123"/>
    <mergeCell ref="A130:D130"/>
    <mergeCell ref="A132:D132"/>
    <mergeCell ref="A133:D133"/>
    <mergeCell ref="A126:D126"/>
    <mergeCell ref="A142:D142"/>
    <mergeCell ref="A116:D116"/>
    <mergeCell ref="A117:D117"/>
    <mergeCell ref="A110:D110"/>
    <mergeCell ref="A111:D111"/>
    <mergeCell ref="A112:D112"/>
    <mergeCell ref="A105:D105"/>
    <mergeCell ref="A106:D106"/>
    <mergeCell ref="A107:D107"/>
    <mergeCell ref="A108:D108"/>
    <mergeCell ref="A109:D109"/>
    <mergeCell ref="A113:D113"/>
    <mergeCell ref="A114:D114"/>
    <mergeCell ref="A115:D115"/>
    <mergeCell ref="A91:D91"/>
    <mergeCell ref="A102:D102"/>
    <mergeCell ref="A103:D103"/>
    <mergeCell ref="A95:D95"/>
    <mergeCell ref="A96:D96"/>
    <mergeCell ref="A97:D97"/>
    <mergeCell ref="A98:D98"/>
    <mergeCell ref="A99:D99"/>
    <mergeCell ref="A101:D101"/>
    <mergeCell ref="A93:D93"/>
    <mergeCell ref="A94:D94"/>
    <mergeCell ref="A100:D100"/>
    <mergeCell ref="A1:B1"/>
    <mergeCell ref="C1:D1"/>
    <mergeCell ref="F1:I1"/>
    <mergeCell ref="A2:B2"/>
    <mergeCell ref="C2:D2"/>
    <mergeCell ref="A5:I5"/>
    <mergeCell ref="A6:I6"/>
    <mergeCell ref="B8:C8"/>
    <mergeCell ref="F8:I8"/>
    <mergeCell ref="A3:B3"/>
    <mergeCell ref="C3:D3"/>
    <mergeCell ref="A4:B4"/>
    <mergeCell ref="C4:D4"/>
    <mergeCell ref="H4:I4"/>
    <mergeCell ref="A7:I7"/>
    <mergeCell ref="F2:G2"/>
    <mergeCell ref="H2:I2"/>
    <mergeCell ref="F3:G3"/>
    <mergeCell ref="H3:I3"/>
    <mergeCell ref="F4:G4"/>
    <mergeCell ref="A12:I12"/>
    <mergeCell ref="A13:I13"/>
    <mergeCell ref="A14:C14"/>
    <mergeCell ref="A47:D47"/>
    <mergeCell ref="A48:D48"/>
    <mergeCell ref="A51:D51"/>
    <mergeCell ref="A50:D50"/>
    <mergeCell ref="A27:C27"/>
    <mergeCell ref="D27:I27"/>
    <mergeCell ref="A28:C28"/>
    <mergeCell ref="D28:I28"/>
    <mergeCell ref="A41:D41"/>
    <mergeCell ref="A29:C29"/>
    <mergeCell ref="D29:I29"/>
    <mergeCell ref="A38:C38"/>
    <mergeCell ref="A37:C37"/>
    <mergeCell ref="D37:I37"/>
    <mergeCell ref="D35:I35"/>
    <mergeCell ref="A43:D43"/>
    <mergeCell ref="A44:D44"/>
    <mergeCell ref="A24:I24"/>
    <mergeCell ref="A49:D49"/>
    <mergeCell ref="D22:I22"/>
    <mergeCell ref="A26:I26"/>
    <mergeCell ref="B9:C9"/>
    <mergeCell ref="F9:I9"/>
    <mergeCell ref="A136:D136"/>
    <mergeCell ref="B10:C10"/>
    <mergeCell ref="H10:I10"/>
    <mergeCell ref="B11:C11"/>
    <mergeCell ref="H11:I11"/>
    <mergeCell ref="A17:C17"/>
    <mergeCell ref="D17:I17"/>
    <mergeCell ref="D14:I14"/>
    <mergeCell ref="A15:C15"/>
    <mergeCell ref="D15:I15"/>
    <mergeCell ref="A18:C18"/>
    <mergeCell ref="D18:I18"/>
    <mergeCell ref="A19:C19"/>
    <mergeCell ref="D19:I19"/>
    <mergeCell ref="A20:C20"/>
    <mergeCell ref="D20:I20"/>
    <mergeCell ref="A42:D42"/>
    <mergeCell ref="A46:D46"/>
    <mergeCell ref="A45:D45"/>
    <mergeCell ref="A21:C21"/>
    <mergeCell ref="D21:I21"/>
    <mergeCell ref="A22:C22"/>
    <mergeCell ref="A39:I39"/>
    <mergeCell ref="H77:H78"/>
    <mergeCell ref="I77:I78"/>
    <mergeCell ref="A52:D52"/>
    <mergeCell ref="A59:D59"/>
    <mergeCell ref="A53:D53"/>
    <mergeCell ref="A55:D55"/>
    <mergeCell ref="A54:D54"/>
    <mergeCell ref="A56:D56"/>
    <mergeCell ref="A60:D60"/>
    <mergeCell ref="A72:D72"/>
    <mergeCell ref="A71:D71"/>
    <mergeCell ref="A58:D58"/>
    <mergeCell ref="A69:D69"/>
    <mergeCell ref="A61:D61"/>
    <mergeCell ref="A62:D62"/>
    <mergeCell ref="A63:D63"/>
    <mergeCell ref="A40:D40"/>
    <mergeCell ref="A64:D64"/>
    <mergeCell ref="A65:D65"/>
    <mergeCell ref="A66:D66"/>
    <mergeCell ref="A77:D78"/>
    <mergeCell ref="A76:D76"/>
    <mergeCell ref="A74:D74"/>
    <mergeCell ref="A23:I23"/>
    <mergeCell ref="A25:C25"/>
    <mergeCell ref="D25:I25"/>
    <mergeCell ref="D38:I38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A36:C36"/>
    <mergeCell ref="D36:I36"/>
    <mergeCell ref="A143:D143"/>
    <mergeCell ref="A141:D141"/>
    <mergeCell ref="A140:D140"/>
    <mergeCell ref="A131:D131"/>
    <mergeCell ref="A57:D57"/>
    <mergeCell ref="A124:D124"/>
    <mergeCell ref="A70:D70"/>
    <mergeCell ref="A67:D67"/>
    <mergeCell ref="A68:D68"/>
    <mergeCell ref="A80:D80"/>
    <mergeCell ref="A81:D81"/>
    <mergeCell ref="A73:D73"/>
    <mergeCell ref="A75:D75"/>
    <mergeCell ref="A79:D79"/>
    <mergeCell ref="A82:D82"/>
    <mergeCell ref="A84:D84"/>
    <mergeCell ref="A83:D83"/>
    <mergeCell ref="A86:D86"/>
    <mergeCell ref="A87:D87"/>
    <mergeCell ref="A85:D85"/>
    <mergeCell ref="A88:D88"/>
    <mergeCell ref="A92:D92"/>
    <mergeCell ref="A89:D89"/>
    <mergeCell ref="A90:D90"/>
    <mergeCell ref="C294:I294"/>
    <mergeCell ref="C295:I295"/>
    <mergeCell ref="A144:D144"/>
    <mergeCell ref="A145:D145"/>
    <mergeCell ref="A146:D146"/>
    <mergeCell ref="A147:D147"/>
    <mergeCell ref="A148:D148"/>
    <mergeCell ref="A153:D153"/>
    <mergeCell ref="A157:D157"/>
    <mergeCell ref="A172:D172"/>
    <mergeCell ref="A159:D159"/>
    <mergeCell ref="A160:D160"/>
    <mergeCell ref="A161:D161"/>
    <mergeCell ref="A162:D162"/>
    <mergeCell ref="A163:D163"/>
    <mergeCell ref="A154:D154"/>
    <mergeCell ref="A155:D155"/>
    <mergeCell ref="A156:D156"/>
    <mergeCell ref="A158:D158"/>
    <mergeCell ref="A171:D171"/>
    <mergeCell ref="A204:I205"/>
    <mergeCell ref="H212:I212"/>
    <mergeCell ref="A183:D183"/>
    <mergeCell ref="A169:D169"/>
  </mergeCells>
  <dataValidations disablePrompts="1" count="2">
    <dataValidation allowBlank="1" sqref="I182:J182 I196:I197 J194 J202 I200 J196:J200 I203:J203" xr:uid="{00000000-0002-0000-0000-000000000000}"/>
    <dataValidation allowBlank="1" showInputMessage="1" showErrorMessage="1" promptTitle="FTA FUNDS?" prompt="If the cell does not display an order total but says FTA FUNDS? go to the cell towards the top that requires an entry or Y or N in the FTA FUNDS box and the cell will function properly." sqref="J257" xr:uid="{00000000-0002-0000-0000-000001000000}"/>
  </dataValidations>
  <printOptions horizontalCentered="1"/>
  <pageMargins left="0.25" right="0.25" top="1.5" bottom="0.75" header="0" footer="0.3"/>
  <pageSetup scale="43" fitToHeight="0" orientation="portrait" r:id="rId1"/>
  <headerFooter>
    <oddHeader>&amp;L&amp;"times,Regular"&amp;24
BSI
877-696-2287
buyabus.net &amp;C&amp;"times,Bold"&amp;28&amp;G&amp;R&amp;"times,Regular"&amp;24
&amp;D
Buyers Agreement</oddHeader>
    <oddFooter xml:space="preserve">&amp;C&amp;"times,Italic"&amp;24
&amp;28With You Every Step of the Way&amp;24
</oddFooter>
  </headerFooter>
  <rowBreaks count="4" manualBreakCount="4">
    <brk id="37" max="16383" man="1"/>
    <brk id="178" max="9" man="1"/>
    <brk id="205" max="9" man="1"/>
    <brk id="388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601a31-97d5-45be-bed1-cea90de9d294">
      <Terms xmlns="http://schemas.microsoft.com/office/infopath/2007/PartnerControls"/>
    </lcf76f155ced4ddcb4097134ff3c332f>
    <TaxCatchAll xmlns="9c77bd95-449b-4e16-87c3-3b2810db89cc" xsi:nil="true"/>
    <SharedWithUsers xmlns="9c77bd95-449b-4e16-87c3-3b2810db89cc">
      <UserInfo>
        <DisplayName>Adam Prestifilippo</DisplayName>
        <AccountId>10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92F3E509ED34088A02A5127C1888C" ma:contentTypeVersion="15" ma:contentTypeDescription="Create a new document." ma:contentTypeScope="" ma:versionID="cc07b846b4d3ce735bb86d676f8e76f3">
  <xsd:schema xmlns:xsd="http://www.w3.org/2001/XMLSchema" xmlns:xs="http://www.w3.org/2001/XMLSchema" xmlns:p="http://schemas.microsoft.com/office/2006/metadata/properties" xmlns:ns2="9c77bd95-449b-4e16-87c3-3b2810db89cc" xmlns:ns3="9a601a31-97d5-45be-bed1-cea90de9d294" targetNamespace="http://schemas.microsoft.com/office/2006/metadata/properties" ma:root="true" ma:fieldsID="dce7b5e1ed3750a98a4dd8bb87dcc1eb" ns2:_="" ns3:_="">
    <xsd:import namespace="9c77bd95-449b-4e16-87c3-3b2810db89cc"/>
    <xsd:import namespace="9a601a31-97d5-45be-bed1-cea90de9d29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7bd95-449b-4e16-87c3-3b2810db89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428f2bc-ccf6-4814-8dbf-83fc6b6f02ea}" ma:internalName="TaxCatchAll" ma:showField="CatchAllData" ma:web="9c77bd95-449b-4e16-87c3-3b2810db8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01a31-97d5-45be-bed1-cea90de9d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ad914b-72c7-42ef-91b1-0e4eb0195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955F32-9B62-484D-827A-799A6EBD50EB}"/>
</file>

<file path=customXml/itemProps2.xml><?xml version="1.0" encoding="utf-8"?>
<ds:datastoreItem xmlns:ds="http://schemas.openxmlformats.org/officeDocument/2006/customXml" ds:itemID="{E38799A2-166D-4E18-BE2B-15E0F292D0EE}"/>
</file>

<file path=customXml/itemProps3.xml><?xml version="1.0" encoding="utf-8"?>
<ds:datastoreItem xmlns:ds="http://schemas.openxmlformats.org/officeDocument/2006/customXml" ds:itemID="{69275AFA-CAB4-4F64-9329-DF15BF872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Andy Grizzell</cp:lastModifiedBy>
  <cp:revision/>
  <dcterms:created xsi:type="dcterms:W3CDTF">2020-03-26T17:18:27Z</dcterms:created>
  <dcterms:modified xsi:type="dcterms:W3CDTF">2026-02-05T22:56:58Z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0x01010080F92F3E509ED34088A02A5127C1888C</vt:lpwstr>
  </property>
  <property fmtid="{D5CDD505-2E9C-101B-9397-08002B2CF9AE}" pid="3" name="MediaServiceImageTags">
    <vt:lpwstr/>
  </property>
</Properties>
</file>